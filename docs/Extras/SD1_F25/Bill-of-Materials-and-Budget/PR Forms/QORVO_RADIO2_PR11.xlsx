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<sst xmlns="http://schemas.openxmlformats.org/spreadsheetml/2006/main" count="325" uniqueCount="175">
  <si>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</si>
  <si>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</si>
  <si>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</si>
  <si>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</si>
  <si>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</si>
  <si>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</si>
  <si>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</si>
  <si>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</si>
  <si>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</si>
  <si>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</si>
  <si>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</si>
  <si>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</si>
  <si>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</si>
  <si>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</si>
  <si>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</si>
  <si>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</si>
  <si>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</si>
  <si>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</si>
  <si>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PR_11</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</si>
  <si>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</si>
  <si>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</si>
  <si>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</si>
  <si>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</si>
  <si>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</si>
  <si>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</si>
  <si>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</si>
  <si>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</si>
  <si>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</si>
  <si>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</si>
  <si>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</si>
  <si>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</si>
  <si>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</si>
  <si>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</si>
  <si>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</si>
  <si>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</si>
  <si>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</si>
  <si>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</si>
  <si>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</si>
  <si>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</si>
  <si>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</si>
  <si>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</si>
  <si>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Mouser</t>
  </si>
  <si>
    <t>PROJECT LEAD</t>
  </si>
  <si>
    <t>PR_10</t>
  </si>
  <si>
    <t xml:space="preserve">PROJECT LEAD EMAIL </t>
  </si>
  <si>
    <t>PR</t>
  </si>
  <si>
    <t>RECEIVED DATE</t>
  </si>
  <si>
    <t>SUBMITTED ORDER TOTAL</t>
  </si>
  <si>
    <t>ISL PURCHASER</t>
  </si>
  <si>
    <t>DATE ISL SUBMITTED</t>
  </si>
  <si>
    <t>ACTUAL ORDER TOTAL</t>
  </si>
  <si>
    <t>ORDER #</t>
  </si>
  <si>
    <t>JUSTIFICATION: Note that this is replacing item 2 of PR8</t>
  </si>
  <si>
    <t>PR_12</t>
  </si>
  <si>
    <t>PR_13</t>
  </si>
  <si>
    <t>ITEM NO.</t>
  </si>
  <si>
    <t>QTY</t>
  </si>
  <si>
    <t>PART NUMBER</t>
  </si>
  <si>
    <t>PRODUCT DESCRIPTION</t>
  </si>
  <si>
    <t>UNIT PRICE</t>
  </si>
  <si>
    <t>TOTAL PRICE</t>
  </si>
  <si>
    <t xml:space="preserve">LEAD TIMES </t>
  </si>
  <si>
    <t>NOTES FOR OFFICE ONLY (DO NOT EDIT)</t>
  </si>
  <si>
    <t>PR_14</t>
  </si>
  <si>
    <t>772-QPG6200LTR13</t>
  </si>
  <si>
    <t>RF System on a Chip - SoC QPG6200 10DBM 4X4QFN32</t>
  </si>
  <si>
    <t>22 Weeks</t>
  </si>
  <si>
    <t>PR_15</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</si>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</sst>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47.5</v>
      </c>
      <c r="Q2" s="11"/>
      <c r="V2" s="12"/>
      <c r="W2" s="13" t="s">
        <v>7</v>
      </c>
      <c r="Y2" s="13" t="s">
        <v>8</v>
      </c>
    </row>
    <row r="3" ht="21.75" customHeight="1">
      <c r="C3" s="14">
        <v>46043.0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18</v>
      </c>
      <c r="Z12" s="43"/>
    </row>
    <row r="13" ht="29.25" customHeight="1">
      <c r="A13" s="47"/>
      <c r="B13" s="48" t="s">
        <v>45</v>
      </c>
      <c r="C13" s="49" t="s">
        <v>36</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PR_11</v>
      </c>
      <c r="C14" s="56" t="str">
        <f>C11</f>
        <v>Mouser</v>
      </c>
      <c r="D14" s="57" t="str">
        <f>C4</f>
        <v/>
      </c>
      <c r="E14" s="58">
        <f>J2</f>
        <v>47.5</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10.0</v>
      </c>
      <c r="C16" s="70" t="s">
        <v>64</v>
      </c>
      <c r="D16" s="71" t="s">
        <v>65</v>
      </c>
      <c r="E16" s="72"/>
      <c r="F16" s="72"/>
      <c r="G16" s="72"/>
      <c r="H16" s="73"/>
      <c r="I16" s="74">
        <v>4.75</v>
      </c>
      <c r="J16" s="75">
        <f>I16*B16</f>
        <v>47.5</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