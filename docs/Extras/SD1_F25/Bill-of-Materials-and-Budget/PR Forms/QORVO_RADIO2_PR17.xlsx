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1" sheetId="1" r:id="rId4"/>
  </sheets>
  <definedNames>
    <definedName localSheetId="0" name="NamedRange1">#REF!</definedName>
    <definedName name="APPROVAL">#REF!</definedName>
    <definedName localSheetId="0" name="APPROVAL">'PR1'!$W$2:$W$3</definedName>
    <definedName name="NamedRange1">#REF!</definedName>
  </definedNames>
  <calcPr/>
  <extLst>
    <ext uri="GoogleSheetsCustomDataVersion2">
      <go:sheetsCustomData xmlns:go="http://customooxmlschemas.google.com/" r:id="rId5" roundtripDataChecksum="LSi378SySZ+DnkLZFOlCi0VvE9isR+lAb0ranzKF7tY="/>
    </ext>
  </extLst>
</workbook>
</file>

<file path=xl/sharedStrings.xml><?xml version="1.0" encoding="utf-8"?>
<sst xmlns="http://schemas.openxmlformats.org/spreadsheetml/2006/main" count="396" uniqueCount="244">
  <si>
    <t xml:space="preserve"> PURCHASE REQUISITION - FILL IN ALL RED ITEMS </t>
  </si>
  <si>
    <t xml:space="preserve">Total </t>
  </si>
  <si>
    <r>
      <rPr>
        <rFont val="Arial"/>
        <color rgb="FF000000"/>
        <sz val="10.0"/>
      </rPr>
      <t xml:space="preserve">
</t>
    </r>
    <r>
      <rPr>
        <rFont val="Arial"/>
        <b/>
        <color rgb="FF000000"/>
        <sz val="10.0"/>
      </rPr>
      <t>VENDOR JUSTIFICATIONS AND QUOTES:</t>
    </r>
    <r>
      <rPr>
        <rFont val="Arial"/>
        <color rgb="FF000000"/>
        <sz val="10.0"/>
      </rPr>
      <t xml:space="preserve">
Include vendor name, website LINK, contact person(s) name, email address and phone number. If ordering computer equipment, please provide a reason for why this particular device is needed from this vendor. IT will need to approve all software and computers.  
</t>
    </r>
    <r>
      <rPr>
        <rFont val="Arial"/>
        <b/>
        <color rgb="FF000000"/>
        <sz val="10.0"/>
      </rPr>
      <t>Justification REQUIRED WHEN</t>
    </r>
    <r>
      <rPr>
        <rFont val="Arial"/>
        <color rgb="FF000000"/>
        <sz val="10.0"/>
      </rPr>
      <t xml:space="preserve">:                                                   
If chosen vendor is not on the Preferred (49er Mart) Vendor list. If P-card is required (see Preferred (49er Mart) Vendor list) for vendors in RED.
</t>
    </r>
    <r>
      <rPr>
        <rFont val="Arial"/>
        <b/>
        <color rgb="FF000000"/>
        <sz val="10.0"/>
      </rPr>
      <t xml:space="preserve">QUOTE REQUIRED WHEN: </t>
    </r>
    <r>
      <rPr>
        <rFont val="Arial"/>
        <color rgb="FF000000"/>
        <sz val="10.0"/>
      </rPr>
      <t xml:space="preserve"> 
Item has specific cuts, it's stated on Preferred (49er Mart) Vendor list or it's vendor requested. If vendor is new (not on list) </t>
    </r>
    <r>
      <rPr>
        <rFont val="Arial"/>
        <i/>
        <color rgb="FF000000"/>
        <sz val="10.0"/>
      </rPr>
      <t xml:space="preserve">check with them first. </t>
    </r>
    <r>
      <rPr>
        <rFont val="Arial"/>
        <b/>
        <i/>
        <color rgb="FF000000"/>
        <sz val="10.0"/>
      </rPr>
      <t>Office does not get quotes for teams</t>
    </r>
    <r>
      <rPr>
        <rFont val="Arial"/>
        <i/>
        <color rgb="FF000000"/>
        <sz val="10.0"/>
      </rPr>
      <t xml:space="preserve">. </t>
    </r>
    <r>
      <rPr>
        <rFont val="Arial"/>
        <color rgb="FF000000"/>
        <sz val="10.0"/>
      </rPr>
      <t xml:space="preserve">
                                                                </t>
    </r>
  </si>
  <si>
    <r>
      <rPr>
        <rFont val="Arial"/>
        <b/>
        <color rgb="FF000000"/>
        <sz val="10.0"/>
      </rPr>
      <t xml:space="preserve">SIGNOUT FOR PARTS: </t>
    </r>
    <r>
      <rPr>
        <rFont val="Arial"/>
        <b val="0"/>
        <color rgb="FF000000"/>
        <sz val="10.0"/>
      </rPr>
      <t xml:space="preserve">Team member who fills out PR is responsible for picking up items and noting what is missing OR coordinating with a team member before sending them to sign out for the package. Team members picking up items must make an appointment if not available to receive it during open office hours posted on Canvas and on Purchasing Status Doc. </t>
    </r>
    <r>
      <rPr>
        <rFont val="Arial"/>
        <b/>
        <color rgb="FF000000"/>
        <sz val="10.0"/>
      </rPr>
      <t xml:space="preserve">Availability is not otherwise ensured. </t>
    </r>
  </si>
  <si>
    <t>DO NOT CHANGE</t>
  </si>
  <si>
    <t xml:space="preserve">DO NOT CHANGE </t>
  </si>
  <si>
    <t>Prepared Date:</t>
  </si>
  <si>
    <t>APPROVED</t>
  </si>
  <si>
    <t>PR_1</t>
  </si>
  <si>
    <t>ACTUAL ORDER TOTAL (ISL OFFICE)</t>
  </si>
  <si>
    <t>Justification? -&gt;</t>
  </si>
  <si>
    <t>DRAFT</t>
  </si>
  <si>
    <t>PR_2</t>
  </si>
  <si>
    <t>Received date: OFFICE ONLY</t>
  </si>
  <si>
    <t>REQUISITION /PO/TXN NO. (ISL Office)</t>
  </si>
  <si>
    <t>PR_3</t>
  </si>
  <si>
    <t>Status:  OFFICE ONLY</t>
  </si>
  <si>
    <r>
      <rPr>
        <rFont val="Arial"/>
        <b/>
        <color theme="1"/>
        <sz val="10.0"/>
      </rPr>
      <t xml:space="preserve">PR: </t>
    </r>
    <r>
      <rPr>
        <rFont val="Arial"/>
        <b val="0"/>
        <color theme="1"/>
        <sz val="9.0"/>
      </rPr>
      <t>USE DROP DOWN TO IDENTIFY pr # --------&gt;</t>
    </r>
  </si>
  <si>
    <t>PR_17</t>
  </si>
  <si>
    <t>Must be correct (duplicate numbers rejected)</t>
  </si>
  <si>
    <t>PR_4</t>
  </si>
  <si>
    <t>Mentor</t>
  </si>
  <si>
    <r>
      <rPr>
        <rFont val="Arial"/>
        <b/>
        <color theme="1"/>
        <sz val="10.0"/>
      </rPr>
      <t xml:space="preserve">Member who submitted PR email : </t>
    </r>
    <r>
      <rPr>
        <rFont val="Arial"/>
        <b val="0"/>
        <color theme="1"/>
        <sz val="10.0"/>
      </rPr>
      <t>This person will receive updates via @function (function sends message directly to this email)</t>
    </r>
  </si>
  <si>
    <t>ehartma6@charlotte.edu</t>
  </si>
  <si>
    <t>PR_5</t>
  </si>
  <si>
    <t>Nan BouSaba</t>
  </si>
  <si>
    <t>Team member who submitted PR</t>
  </si>
  <si>
    <t>Ethan Hartman</t>
  </si>
  <si>
    <t>PR_6</t>
  </si>
  <si>
    <t>Mentor email</t>
  </si>
  <si>
    <r>
      <rPr>
        <rFont val="Arial"/>
        <i/>
        <color theme="1"/>
      </rPr>
      <t xml:space="preserve">(Do not email purchasing for updates </t>
    </r>
    <r>
      <rPr>
        <rFont val="Arial"/>
        <b/>
        <i/>
        <color theme="1"/>
      </rPr>
      <t>before checking</t>
    </r>
    <r>
      <rPr>
        <rFont val="Arial"/>
        <i/>
        <color theme="1"/>
      </rPr>
      <t xml:space="preserve"> with above team member or uploaded PR. Entire team has access to Team Folder/ PR/ Team Status Doc)</t>
    </r>
  </si>
  <si>
    <t>PR_7</t>
  </si>
  <si>
    <t>nbousaba@charlotte.edu</t>
  </si>
  <si>
    <r>
      <rPr>
        <rFont val="Arial"/>
        <b/>
        <color theme="1"/>
        <sz val="11.0"/>
      </rPr>
      <t>Team-</t>
    </r>
    <r>
      <rPr>
        <rFont val="Arial"/>
        <b val="0"/>
        <color theme="1"/>
        <sz val="11.0"/>
      </rPr>
      <t xml:space="preserve">Save your file with team </t>
    </r>
    <r>
      <rPr>
        <rFont val="Arial"/>
        <b val="0"/>
        <i/>
        <color theme="1"/>
        <sz val="11.0"/>
      </rPr>
      <t>and</t>
    </r>
    <r>
      <rPr>
        <rFont val="Arial"/>
        <b val="0"/>
        <color theme="1"/>
        <sz val="11.0"/>
      </rPr>
      <t xml:space="preserve"> PR number </t>
    </r>
    <r>
      <rPr>
        <rFont val="Arial"/>
        <b/>
        <color theme="1"/>
        <sz val="11.0"/>
      </rPr>
      <t xml:space="preserve">OR FILE WILL BE SENT BACK WITHOUT PARTS ORDERED/NO EXCEPTIONS) </t>
    </r>
  </si>
  <si>
    <t>Example of how to SAVE FILE:
TEAM_TEST1 _1 (do not need to change here, apply to file name before sending to mentor)</t>
  </si>
  <si>
    <t>PR_8</t>
  </si>
  <si>
    <t>VENDOR</t>
  </si>
  <si>
    <t>DEPARTMENT</t>
  </si>
  <si>
    <t>COE Senior Design</t>
  </si>
  <si>
    <t xml:space="preserve">Justification here: "Project X needs item X from vendor X due to the special X that only vendor x can provide." or "Project X requires product X from vendor x as long lead time from other vendors will conflict with project completion." </t>
  </si>
  <si>
    <t>PR_9</t>
  </si>
  <si>
    <t>Digikey</t>
  </si>
  <si>
    <t>PROJECT LEAD</t>
  </si>
  <si>
    <t>PR_10</t>
  </si>
  <si>
    <t xml:space="preserve">PROJECT LEAD EMAIL </t>
  </si>
  <si>
    <t>PR_11</t>
  </si>
  <si>
    <t>PR</t>
  </si>
  <si>
    <t>RECEIVED DATE</t>
  </si>
  <si>
    <t>SUBMITTED ORDER TOTAL</t>
  </si>
  <si>
    <t>ISL PURCHASER</t>
  </si>
  <si>
    <t>DATE ISL SUBMITTED</t>
  </si>
  <si>
    <t>ACTUAL ORDER TOTAL</t>
  </si>
  <si>
    <t>ORDER #</t>
  </si>
  <si>
    <t xml:space="preserve">JUSTIFICATION: </t>
  </si>
  <si>
    <t>PR_12</t>
  </si>
  <si>
    <t>PR_13</t>
  </si>
  <si>
    <t>ITEM NO.</t>
  </si>
  <si>
    <t>QTY</t>
  </si>
  <si>
    <t>PART NUMBER</t>
  </si>
  <si>
    <t>PRODUCT DESCRIPTION</t>
  </si>
  <si>
    <t>UNIT PRICE</t>
  </si>
  <si>
    <t>TOTAL PRICE</t>
  </si>
  <si>
    <t xml:space="preserve">LEAD TIMES </t>
  </si>
  <si>
    <t>NOTES FOR OFFICE ONLY (DO NOT EDIT)</t>
  </si>
  <si>
    <t>PR_14</t>
  </si>
  <si>
    <t>S1011E-02-ND</t>
  </si>
  <si>
    <t>Connector Header Through Hole 2 position 0.100" (2.54mm)</t>
  </si>
  <si>
    <t>In Stock - Ships in 1-3 Business days</t>
  </si>
  <si>
    <t>PR_15</t>
  </si>
  <si>
    <t>PR_16</t>
  </si>
  <si>
    <t>311-0.0GRCT-ND</t>
  </si>
  <si>
    <t>0 Ohms Jumper 0.1W, 1/10W Chip Resistor 0603 (1608 Metric) Moisture Resistant Thick Film</t>
  </si>
  <si>
    <t>PR_18</t>
  </si>
  <si>
    <t>490-LQG15WZ3N2C02DCT-ND</t>
  </si>
  <si>
    <t>3.2 nH Unshielded Multilayer Inductor 900 mA 90mOhm Max 0402 (1005 Metric)</t>
  </si>
  <si>
    <t>PR_19</t>
  </si>
  <si>
    <t>PR_20</t>
  </si>
  <si>
    <t>490-12783-1-ND</t>
  </si>
  <si>
    <t>3.3 µH Shielded Multilayer Inductor 700 mA 438mOhm Max 0603 (1608 Metric)</t>
  </si>
  <si>
    <t>PR_21</t>
  </si>
  <si>
    <t>PR_22</t>
  </si>
  <si>
    <t>1276-1033-1-ND</t>
  </si>
  <si>
    <t>0.1 µF ±5% 50V Ceramic Capacitor X7R 0603 (1608 Metric)</t>
  </si>
  <si>
    <t>PR_23</t>
  </si>
  <si>
    <t>PR_24</t>
  </si>
  <si>
    <t>1276-1946-1-ND</t>
  </si>
  <si>
    <t>1 µF ±10% 10V Ceramic Capacitor X7R 0603 (1608 Metric)</t>
  </si>
  <si>
    <t>PR_25</t>
  </si>
  <si>
    <t>PR_26</t>
  </si>
  <si>
    <t>887-1849-1-ND</t>
  </si>
  <si>
    <t>32 MHz ±10ppm Crystal 8pF 80 Ohms 4-SMD, No Lead</t>
  </si>
  <si>
    <t>PR_27</t>
  </si>
  <si>
    <t>PR_28</t>
  </si>
  <si>
    <t>WM4002-ND</t>
  </si>
  <si>
    <t>Connector Header Through Hole 4 position 0.100" (2.54mm)</t>
  </si>
  <si>
    <t>PR_29</t>
  </si>
  <si>
    <t>PR_30</t>
  </si>
  <si>
    <t>478-600S1R8BT250XT4KCT-ND</t>
  </si>
  <si>
    <t>1.8 pF ±0.1pF 250V Ceramic Capacitor C0G, NP0 0603 (1608 Metric)</t>
  </si>
  <si>
    <t>PR_31</t>
  </si>
  <si>
    <t>PR_32</t>
  </si>
  <si>
    <t>311-100HRCT-ND</t>
  </si>
  <si>
    <t>100 Ohms ±1% 0.1W, 1/10W Chip Resistor 0603 (1608 Metric) Moisture Resistant Thick Film</t>
  </si>
  <si>
    <t>PR_33</t>
  </si>
  <si>
    <t>PR_34</t>
  </si>
  <si>
    <t>311-1.00CRCT-ND</t>
  </si>
  <si>
    <t>1 Ohms ±1% 0.125W, 1/8W Chip Resistor 0805 (2012 Metric) Moisture Resistant Thick Film</t>
  </si>
  <si>
    <t>PR_35</t>
  </si>
  <si>
    <t>PR_36</t>
  </si>
  <si>
    <t>1276-1192-1-ND</t>
  </si>
  <si>
    <t>10 µF ±10% 10V Ceramic Capacitor X5R 0603 (1608 Metric)</t>
  </si>
  <si>
    <t>PR_37</t>
  </si>
  <si>
    <t>PR_38</t>
  </si>
  <si>
    <t>13-CC0402KRX5R6BB184CT-ND</t>
  </si>
  <si>
    <t>0.18 µF ±10% 10V Ceramic Capacitor X5R 0402 (1005 Metric)</t>
  </si>
  <si>
    <t>PR_39</t>
  </si>
  <si>
    <t>PR_40</t>
  </si>
  <si>
    <t>RMCF0603FT1K00CT-ND</t>
  </si>
  <si>
    <t>1 kOhms ±1% 0.1W, 1/10W Chip Resistor 0603 (1608 Metric) Automotive AEC-Q200 Thick Film</t>
  </si>
  <si>
    <t>PR_41</t>
  </si>
  <si>
    <t>PR_42</t>
  </si>
  <si>
    <t>296-45314-1-ND</t>
  </si>
  <si>
    <t>12 Bit Digital to Analog Converter 1 8-VSSOP</t>
  </si>
  <si>
    <t>PR_43</t>
  </si>
  <si>
    <t>PR_44</t>
  </si>
  <si>
    <t>CKN9565-ND</t>
  </si>
  <si>
    <t xml:space="preserve"> SWITCH SLIDE SPDT 100MA 12V</t>
  </si>
  <si>
    <t>PR_45</t>
  </si>
  <si>
    <t>PR_46</t>
  </si>
  <si>
    <t>311-330GRCT-ND</t>
  </si>
  <si>
    <t>330 Ohms ±5% 0.1W, 1/10W Chip Resistor 0603 (1608 Metric) Moisture Resistant Thick Film</t>
  </si>
  <si>
    <t>PR_47</t>
  </si>
  <si>
    <t>PR_48</t>
  </si>
  <si>
    <t>311-1185-1-ND</t>
  </si>
  <si>
    <t>270 pF ±10% 50V Ceramic Capacitor X7R 0603 (1608 Metric)</t>
  </si>
  <si>
    <t>PR_49</t>
  </si>
  <si>
    <t>PR_50</t>
  </si>
  <si>
    <t>399-CBR06C129B5GACCT-ND</t>
  </si>
  <si>
    <t>1.2 pF ±0.1pF 50V Ceramic Capacitor C0G, NP0 0603 (1608 Metric)</t>
  </si>
  <si>
    <t>PR_51</t>
  </si>
  <si>
    <t>PR_52</t>
  </si>
  <si>
    <t xml:space="preserve">478-600S2R2AT250XT4KCT-ND </t>
  </si>
  <si>
    <t>2.2 pF ±0.05pF 250V Ceramic Capacitor C0G, NP0 0603 (1608 Metric)</t>
  </si>
  <si>
    <t>PR_53</t>
  </si>
  <si>
    <t>PR_54</t>
  </si>
  <si>
    <t>311-9.31KHRCT-ND</t>
  </si>
  <si>
    <t>9.31 kOhms ±1% 0.1W, 1/10W Chip Resistor 0603 (1608 Metric) Moisture Resistant Thick Film</t>
  </si>
  <si>
    <t>PR_55</t>
  </si>
  <si>
    <t>PR_56</t>
  </si>
  <si>
    <t>311-1.00KLRCT-ND</t>
  </si>
  <si>
    <t>1 kOhms ±1% 0.063W, 1/16W Chip Resistor 0402 (1005 Metric) Moisture Resistant Thick Film</t>
  </si>
  <si>
    <t>PR_57</t>
  </si>
  <si>
    <t>PR_58</t>
  </si>
  <si>
    <t>497-18288-1-ND</t>
  </si>
  <si>
    <t>Linear Voltage Regulator IC Positive Fixed 1 Output 400mA 6-DFN (3x3)</t>
  </si>
  <si>
    <t>PR_59</t>
  </si>
  <si>
    <t>PR_60</t>
  </si>
  <si>
    <t>SAM8971-ND</t>
  </si>
  <si>
    <t>SMA Connector Jack, Female Socket 50 Ohms Through Hole Solder</t>
  </si>
  <si>
    <t>PR_61</t>
  </si>
  <si>
    <t>PR_62</t>
  </si>
  <si>
    <t>S9012E-05-ND</t>
  </si>
  <si>
    <t>Connector Header Surface Mount 10 position 0.050" (1.27mm)</t>
  </si>
  <si>
    <t>PR_63</t>
  </si>
  <si>
    <t>PR_64</t>
  </si>
  <si>
    <t>478-600S180FT250XT4KCT-ND</t>
  </si>
  <si>
    <t>18 pF ±1% 250V Ceramic Capacitor C0G, NP0 0603 (1608 Metric)</t>
  </si>
  <si>
    <t>PR_65</t>
  </si>
  <si>
    <t>PR_66</t>
  </si>
  <si>
    <t>455-1704-ND</t>
  </si>
  <si>
    <t>Connector Header Through Hole 2 position 0.079" (2.00mm)</t>
  </si>
  <si>
    <t>PR_67</t>
  </si>
  <si>
    <t>PR_68</t>
  </si>
  <si>
    <t>311-160GRCT-ND</t>
  </si>
  <si>
    <t>160 Ohms ±5% 0.1W, 1/10W Chip Resistor 0603 (1608 Metric) Moisture Resistant Thick Film</t>
  </si>
  <si>
    <t>PR_69</t>
  </si>
  <si>
    <t>PR_70</t>
  </si>
  <si>
    <t>541-TNPW0603250RBEENCT-ND</t>
  </si>
  <si>
    <t>250 Ohms ±0.1% 0.21W Chip Resistor 0603 (1608 Metric) Anti-Sulfur, Automotive AEC-Q200, Moisture Resistant Thin Film</t>
  </si>
  <si>
    <t>PR_71</t>
  </si>
  <si>
    <t>PR_72</t>
  </si>
  <si>
    <t>445-174426-1-ND</t>
  </si>
  <si>
    <t>0.33 µF ±10% 50V Ceramic Capacitor X7R 0603 (1608 Metric)</t>
  </si>
  <si>
    <t>PR_73</t>
  </si>
  <si>
    <t>PR_74</t>
  </si>
  <si>
    <t>1276-1044-1-ND</t>
  </si>
  <si>
    <t>4.7 µF ±10% 10V Ceramic Capacitor X5R 0603 (1608 Metric)</t>
  </si>
  <si>
    <t>PR_75</t>
  </si>
  <si>
    <t>PR_76</t>
  </si>
  <si>
    <t>1276-1040-1-ND</t>
  </si>
  <si>
    <t>2.2 µF ±10% 16V Ceramic Capacitor X5R 0603 (1608 Metric)</t>
  </si>
  <si>
    <t>PR_77</t>
  </si>
  <si>
    <t>PR_78</t>
  </si>
  <si>
    <t>2019-RK73B1JTTD203JCT-ND</t>
  </si>
  <si>
    <t>20 kOhms ±5% 0.1W, 1/10W Chip Resistor 0603 (1608 Metric) Automotive AEC-Q200 Thick Film</t>
  </si>
  <si>
    <t>PR_79</t>
  </si>
  <si>
    <t>PR_80</t>
  </si>
  <si>
    <t>497-LDO40LPU50RYCT-ND</t>
  </si>
  <si>
    <t>PR_81</t>
  </si>
  <si>
    <t>PR_82</t>
  </si>
  <si>
    <t>6017-SPG08P4HM4H-1CT-ND</t>
  </si>
  <si>
    <t>30 Hz ~ 10 kHz Digital, PDM Microphone MEMS (Silicon) Omnidirectional (-26dB ±1dB @ 94dB SPL) Solder Pads</t>
  </si>
  <si>
    <t>PR_83</t>
  </si>
  <si>
    <t>PR_84</t>
  </si>
  <si>
    <t>1528-4410-ND</t>
  </si>
  <si>
    <t>- USB Type-C® Evaluation Board, LIPOLY BATTERY CHARGER W/USB C</t>
  </si>
  <si>
    <t>PR_85</t>
  </si>
  <si>
    <t>PR_86</t>
  </si>
  <si>
    <t xml:space="preserve"> </t>
  </si>
  <si>
    <t>PR_87</t>
  </si>
  <si>
    <t>PR_88</t>
  </si>
  <si>
    <t>PR_89</t>
  </si>
  <si>
    <t>PR_90</t>
  </si>
  <si>
    <t>PR_91</t>
  </si>
  <si>
    <t>PR_92</t>
  </si>
  <si>
    <t>PR_93</t>
  </si>
  <si>
    <t>PR_94</t>
  </si>
  <si>
    <t>PR_95</t>
  </si>
  <si>
    <t>PR_96</t>
  </si>
  <si>
    <t>PR_97</t>
  </si>
  <si>
    <t>PR_98</t>
  </si>
  <si>
    <t>PR_99</t>
  </si>
  <si>
    <t>PR_100</t>
  </si>
  <si>
    <t>PR_101</t>
  </si>
  <si>
    <t>PR_102</t>
  </si>
  <si>
    <t>PR_103</t>
  </si>
  <si>
    <t>PR_104</t>
  </si>
  <si>
    <t>PR_105</t>
  </si>
  <si>
    <t>PR_106</t>
  </si>
  <si>
    <t>PR_107</t>
  </si>
  <si>
    <t>PR_108</t>
  </si>
  <si>
    <t>PR_109</t>
  </si>
  <si>
    <t>PR_110</t>
  </si>
  <si>
    <t>PR_111</t>
  </si>
  <si>
    <t>PR_112</t>
  </si>
  <si>
    <t>PR_113</t>
  </si>
  <si>
    <t>PR_114</t>
  </si>
  <si>
    <t>PR_115</t>
  </si>
  <si>
    <t>PR_116</t>
  </si>
  <si>
    <t>PR_117</t>
  </si>
  <si>
    <t>PR_118</t>
  </si>
  <si>
    <t>PR_119</t>
  </si>
  <si>
    <t>PR_120</t>
  </si>
  <si>
    <t>PR_121</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</si>
</sst>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dd/yy"/>
    <numFmt numFmtId="165" formatCode="_(&quot;$&quot;* #,##0.00_);_(&quot;$&quot;* \(#,##0.00\);_(&quot;$&quot;* &quot;-&quot;??_);_(@_)"/>
    <numFmt numFmtId="166" formatCode="m/d/yy"/>
    <numFmt numFmtId="167" formatCode="m/d"/>
    <numFmt numFmtId="168" formatCode="&quot;$&quot;#,##0.00"/>
  </numFmts>
  <fonts count="22">
    <font>
      <sz val="10.0"/>
      <color rgb="FF000000"/>
      <name val="Arial"/>
      <scheme val="minor"/>
    </font>
    <font>
      <b/>
      <sz val="9.0"/>
      <color theme="1"/>
      <name val="Arial"/>
    </font>
    <font>
      <b/>
      <sz val="22.0"/>
      <color theme="1"/>
      <name val="Arial"/>
    </font>
    <font>
      <b/>
      <sz val="11.0"/>
      <color theme="1"/>
      <name val="Arial"/>
    </font>
    <font>
      <sz val="10.0"/>
      <color rgb="FF000000"/>
      <name val="Arial"/>
    </font>
    <font>
      <b/>
      <sz val="10.0"/>
      <color rgb="FF000000"/>
      <name val="Arial"/>
    </font>
    <font/>
    <font>
      <b/>
      <sz val="10.0"/>
      <color theme="1"/>
      <name val="Arial"/>
    </font>
    <font>
      <sz val="10.0"/>
      <color theme="1"/>
      <name val="Arial"/>
    </font>
    <font>
      <b/>
      <sz val="10.0"/>
      <color rgb="FFFF0000"/>
      <name val="Arial"/>
    </font>
    <font>
      <b/>
      <sz val="12.0"/>
      <color theme="1"/>
      <name val="Arial"/>
    </font>
    <font>
      <sz val="12.0"/>
      <color rgb="FFFF0000"/>
      <name val="Arial"/>
    </font>
    <font>
      <i/>
      <sz val="9.0"/>
      <color theme="1"/>
      <name val="Arial"/>
    </font>
    <font>
      <sz val="12.0"/>
      <color rgb="FF000000"/>
      <name val="Arial"/>
    </font>
    <font>
      <b/>
      <sz val="12.0"/>
      <color rgb="FF000000"/>
      <name val="Arial"/>
    </font>
    <font>
      <i/>
      <color theme="1"/>
      <name val="Arial"/>
    </font>
    <font>
      <b/>
      <sz val="7.0"/>
      <color theme="1"/>
      <name val="Arial"/>
    </font>
    <font>
      <sz val="14.0"/>
      <color theme="1"/>
      <name val="Arial"/>
    </font>
    <font>
      <b/>
      <sz val="7.0"/>
      <color rgb="FFFF0000"/>
      <name val="Arial"/>
    </font>
    <font>
      <b/>
      <sz val="8.0"/>
      <color theme="1"/>
      <name val="Arial"/>
    </font>
    <font>
      <b/>
      <sz val="8.0"/>
      <color rgb="FF000000"/>
      <name val="Arial"/>
    </font>
    <font>
      <color theme="1"/>
      <name val="Arial"/>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2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rder>
    <border>
      <top style="medium">
        <color rgb="FF000000"/>
      </top>
    </border>
    <border>
      <right style="thin">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left style="medium">
        <color rgb="FF000000"/>
      </left>
      <right style="thin">
        <color rgb="FF000000"/>
      </right>
    </border>
    <border>
      <left style="thin">
        <color rgb="FF000000"/>
      </left>
      <right style="thin">
        <color rgb="FF000000"/>
      </right>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top"/>
    </xf>
    <xf borderId="0" fillId="0" fontId="3" numFmtId="0" xfId="0" applyAlignment="1" applyFont="1">
      <alignment horizontal="right"/>
    </xf>
    <xf borderId="0" fillId="0" fontId="4" numFmtId="0" xfId="0" applyAlignment="1" applyFont="1">
      <alignment horizontal="left" shrinkToFit="0" wrapText="1"/>
    </xf>
    <xf borderId="1" fillId="0" fontId="5" numFmtId="0" xfId="0" applyAlignment="1" applyBorder="1" applyFont="1">
      <alignment horizontal="center" shrinkToFit="0" vertical="top" wrapText="1"/>
    </xf>
    <xf borderId="2" fillId="0" fontId="6" numFmtId="0" xfId="0" applyBorder="1" applyFont="1"/>
    <xf borderId="3" fillId="0" fontId="6" numFmtId="0" xfId="0" applyBorder="1" applyFont="1"/>
    <xf borderId="0" fillId="0" fontId="5" numFmtId="0" xfId="0" applyFont="1"/>
    <xf borderId="0" fillId="0" fontId="1" numFmtId="0" xfId="0" applyAlignment="1" applyFont="1">
      <alignment horizontal="right" shrinkToFit="0" wrapText="1"/>
    </xf>
    <xf borderId="0" fillId="0" fontId="7" numFmtId="40" xfId="0" applyFont="1" applyNumberFormat="1"/>
    <xf borderId="4" fillId="0" fontId="6" numFmtId="0" xfId="0" applyBorder="1" applyFont="1"/>
    <xf borderId="5" fillId="0" fontId="6" numFmtId="0" xfId="0" applyBorder="1" applyFont="1"/>
    <xf borderId="0" fillId="0" fontId="8" numFmtId="0" xfId="0" applyFont="1"/>
    <xf borderId="6" fillId="0" fontId="9" numFmtId="164" xfId="0" applyAlignment="1" applyBorder="1" applyFont="1" applyNumberFormat="1">
      <alignment horizontal="center" readingOrder="0" vertical="center"/>
    </xf>
    <xf borderId="6" fillId="0" fontId="6" numFmtId="0" xfId="0" applyBorder="1" applyFont="1"/>
    <xf borderId="0" fillId="0" fontId="7" numFmtId="0" xfId="0" applyAlignment="1" applyFont="1">
      <alignment horizontal="left"/>
    </xf>
    <xf borderId="6" fillId="0" fontId="7" numFmtId="165" xfId="0" applyAlignment="1" applyBorder="1" applyFont="1" applyNumberFormat="1">
      <alignment horizontal="center"/>
    </xf>
    <xf borderId="6" fillId="0" fontId="7" numFmtId="0" xfId="0" applyAlignment="1" applyBorder="1" applyFont="1">
      <alignment horizontal="center"/>
    </xf>
    <xf borderId="6" fillId="0" fontId="10" numFmtId="0" xfId="0" applyAlignment="1" applyBorder="1" applyFont="1">
      <alignment horizontal="left"/>
    </xf>
    <xf borderId="6" fillId="0" fontId="7" numFmtId="166" xfId="0" applyAlignment="1" applyBorder="1" applyFont="1" applyNumberFormat="1">
      <alignment horizontal="center"/>
    </xf>
    <xf borderId="6" fillId="0" fontId="8" numFmtId="0" xfId="0" applyAlignment="1" applyBorder="1" applyFont="1">
      <alignment horizontal="center" vertical="center"/>
    </xf>
    <xf borderId="0" fillId="0" fontId="7" numFmtId="49" xfId="0" applyAlignment="1" applyFont="1" applyNumberFormat="1">
      <alignment horizontal="right"/>
    </xf>
    <xf borderId="0" fillId="0" fontId="7" numFmtId="0" xfId="0" applyAlignment="1" applyFont="1">
      <alignment horizontal="left" vertical="center"/>
    </xf>
    <xf borderId="6" fillId="0" fontId="11" numFmtId="0" xfId="0" applyAlignment="1" applyBorder="1" applyFont="1">
      <alignment horizontal="left" readingOrder="0"/>
    </xf>
    <xf borderId="6" fillId="0" fontId="12" numFmtId="0" xfId="0" applyAlignment="1" applyBorder="1" applyFont="1">
      <alignment horizontal="left" shrinkToFit="0" wrapText="1"/>
    </xf>
    <xf borderId="0" fillId="0" fontId="10" numFmtId="167" xfId="0" applyAlignment="1" applyFont="1" applyNumberFormat="1">
      <alignment horizontal="center" shrinkToFit="0" vertical="center" wrapText="1"/>
    </xf>
    <xf borderId="0" fillId="0" fontId="10" numFmtId="0" xfId="0" applyAlignment="1" applyFont="1">
      <alignment horizontal="center" shrinkToFit="0" vertical="center" wrapText="1"/>
    </xf>
    <xf borderId="0" fillId="0" fontId="7" numFmtId="0" xfId="0" applyAlignment="1" applyFont="1">
      <alignment horizontal="left" shrinkToFit="0" wrapText="1"/>
    </xf>
    <xf borderId="7" fillId="0" fontId="13" numFmtId="0" xfId="0" applyAlignment="1" applyBorder="1" applyFont="1">
      <alignment horizontal="left"/>
    </xf>
    <xf borderId="7" fillId="0" fontId="6" numFmtId="0" xfId="0" applyBorder="1" applyFont="1"/>
    <xf borderId="6" fillId="0" fontId="14" numFmtId="0" xfId="0" applyAlignment="1" applyBorder="1" applyFont="1">
      <alignment horizontal="center" shrinkToFit="0" vertical="center" wrapText="1"/>
    </xf>
    <xf borderId="0" fillId="0" fontId="4" numFmtId="0" xfId="0" applyFont="1"/>
    <xf borderId="8" fillId="0" fontId="15" numFmtId="0" xfId="0" applyAlignment="1" applyBorder="1" applyFont="1">
      <alignment horizontal="center" shrinkToFit="0" wrapText="1"/>
    </xf>
    <xf borderId="9" fillId="0" fontId="6" numFmtId="0" xfId="0" applyBorder="1" applyFont="1"/>
    <xf borderId="7" fillId="0" fontId="4" numFmtId="0" xfId="0" applyAlignment="1" applyBorder="1" applyFont="1">
      <alignment horizontal="center"/>
    </xf>
    <xf borderId="0" fillId="0" fontId="3" numFmtId="0" xfId="0" applyAlignment="1" applyFont="1">
      <alignment horizontal="center" shrinkToFit="0" wrapText="1"/>
    </xf>
    <xf borderId="0" fillId="0" fontId="4" numFmtId="0" xfId="0" applyAlignment="1" applyFont="1">
      <alignment shrinkToFit="0" vertical="top" wrapText="1"/>
    </xf>
    <xf borderId="0" fillId="0" fontId="16" numFmtId="0" xfId="0" applyAlignment="1" applyFont="1">
      <alignment horizontal="center" shrinkToFit="0" vertical="center" wrapText="1"/>
    </xf>
    <xf borderId="0" fillId="0" fontId="16" numFmtId="0" xfId="0" applyAlignment="1" applyFont="1">
      <alignment horizontal="center" vertical="center"/>
    </xf>
    <xf borderId="0" fillId="0" fontId="7" numFmtId="0" xfId="0" applyAlignment="1" applyFont="1">
      <alignment horizontal="center"/>
    </xf>
    <xf borderId="7" fillId="0" fontId="17" numFmtId="0" xfId="0" applyAlignment="1" applyBorder="1" applyFont="1">
      <alignment horizontal="left"/>
    </xf>
    <xf borderId="1" fillId="0" fontId="1" numFmtId="0" xfId="0" applyAlignment="1" applyBorder="1" applyFont="1">
      <alignment horizontal="left" shrinkToFit="0" vertical="top" wrapText="1"/>
    </xf>
    <xf borderId="0" fillId="0" fontId="7" numFmtId="0" xfId="0" applyFont="1"/>
    <xf borderId="6" fillId="0" fontId="18" numFmtId="0" xfId="0" applyAlignment="1" applyBorder="1" applyFont="1">
      <alignment horizontal="center" readingOrder="0" shrinkToFit="0" vertical="center" wrapText="1"/>
    </xf>
    <xf borderId="7" fillId="0" fontId="4" numFmtId="0" xfId="0" applyAlignment="1" applyBorder="1" applyFont="1">
      <alignment horizontal="left"/>
    </xf>
    <xf borderId="10" fillId="0" fontId="6" numFmtId="0" xfId="0" applyBorder="1" applyFont="1"/>
    <xf borderId="0" fillId="0" fontId="19" numFmtId="0" xfId="0" applyAlignment="1" applyFont="1">
      <alignment horizontal="center" shrinkToFit="0" vertical="center" wrapText="1"/>
    </xf>
    <xf borderId="1" fillId="0" fontId="19" numFmtId="0" xfId="0" applyAlignment="1" applyBorder="1" applyFont="1">
      <alignment horizontal="center" shrinkToFit="0" vertical="center" wrapText="1"/>
    </xf>
    <xf borderId="2" fillId="0" fontId="19" numFmtId="0" xfId="0" applyAlignment="1" applyBorder="1" applyFont="1">
      <alignment horizontal="center" shrinkToFit="0" vertical="center" wrapText="1"/>
    </xf>
    <xf borderId="2" fillId="2" fontId="20" numFmtId="0" xfId="0" applyAlignment="1" applyBorder="1" applyFill="1" applyFont="1">
      <alignment horizontal="center" shrinkToFit="0" wrapText="1"/>
    </xf>
    <xf borderId="2" fillId="0" fontId="19" numFmtId="0" xfId="0" applyAlignment="1" applyBorder="1" applyFont="1">
      <alignment horizontal="center" vertical="center"/>
    </xf>
    <xf borderId="2" fillId="0" fontId="19" numFmtId="0" xfId="0" applyAlignment="1" applyBorder="1" applyFont="1">
      <alignment horizontal="center" shrinkToFit="0" wrapText="1"/>
    </xf>
    <xf borderId="3" fillId="0" fontId="21" numFmtId="0" xfId="0" applyBorder="1" applyFont="1"/>
    <xf borderId="1" fillId="0" fontId="9" numFmtId="0" xfId="0" applyAlignment="1" applyBorder="1" applyFont="1">
      <alignment vertical="top"/>
    </xf>
    <xf borderId="8" fillId="0" fontId="19" numFmtId="0" xfId="0" applyAlignment="1" applyBorder="1" applyFont="1">
      <alignment horizontal="center" shrinkToFit="0" vertical="center" wrapText="1"/>
    </xf>
    <xf borderId="7" fillId="0" fontId="19" numFmtId="0" xfId="0" applyAlignment="1" applyBorder="1" applyFont="1">
      <alignment horizontal="center" shrinkToFit="0" vertical="center" wrapText="1"/>
    </xf>
    <xf borderId="7" fillId="0" fontId="19" numFmtId="166" xfId="0" applyAlignment="1" applyBorder="1" applyFont="1" applyNumberFormat="1">
      <alignment horizontal="center" vertical="center"/>
    </xf>
    <xf borderId="7" fillId="0" fontId="19" numFmtId="40" xfId="0" applyAlignment="1" applyBorder="1" applyFont="1" applyNumberFormat="1">
      <alignment horizontal="center" vertical="center"/>
    </xf>
    <xf borderId="7" fillId="0" fontId="19" numFmtId="0" xfId="0" applyAlignment="1" applyBorder="1" applyFont="1">
      <alignment horizontal="center" vertical="center"/>
    </xf>
    <xf borderId="7" fillId="0" fontId="19" numFmtId="165" xfId="0" applyAlignment="1" applyBorder="1" applyFont="1" applyNumberFormat="1">
      <alignment horizontal="center" vertical="center"/>
    </xf>
    <xf borderId="7" fillId="0" fontId="19" numFmtId="0" xfId="0" applyAlignment="1" applyBorder="1" applyFont="1">
      <alignment horizontal="center" shrinkToFit="0" wrapText="1"/>
    </xf>
    <xf borderId="9" fillId="0" fontId="19" numFmtId="0" xfId="0" applyAlignment="1" applyBorder="1" applyFont="1">
      <alignment horizontal="center" shrinkToFit="0" wrapText="1"/>
    </xf>
    <xf borderId="11" fillId="0" fontId="6" numFmtId="0" xfId="0" applyBorder="1" applyFont="1"/>
    <xf borderId="12" fillId="0" fontId="16" numFmtId="0" xfId="0" applyAlignment="1" applyBorder="1" applyFont="1">
      <alignment horizontal="center" vertical="center"/>
    </xf>
    <xf borderId="12" fillId="0" fontId="6" numFmtId="0" xfId="0" applyBorder="1" applyFont="1"/>
    <xf borderId="0" fillId="0" fontId="16" numFmtId="0" xfId="0" applyAlignment="1" applyFont="1">
      <alignment horizontal="center" shrinkToFit="0" wrapText="1"/>
    </xf>
    <xf borderId="1" fillId="0" fontId="7" numFmtId="0" xfId="0" applyBorder="1" applyFont="1"/>
    <xf borderId="0" fillId="0" fontId="10" numFmtId="0" xfId="0" applyAlignment="1" applyFont="1">
      <alignment horizontal="center" vertical="center"/>
    </xf>
    <xf borderId="13" fillId="3" fontId="14" numFmtId="0" xfId="0" applyAlignment="1" applyBorder="1" applyFill="1" applyFont="1">
      <alignment horizontal="center" readingOrder="0" vertical="center"/>
    </xf>
    <xf borderId="14" fillId="3" fontId="5" numFmtId="0" xfId="0" applyAlignment="1" applyBorder="1" applyFont="1">
      <alignment horizontal="center" readingOrder="0" shrinkToFit="0" vertical="center" wrapText="1"/>
    </xf>
    <xf borderId="15" fillId="3" fontId="5" numFmtId="0" xfId="0" applyAlignment="1" applyBorder="1" applyFont="1">
      <alignment horizontal="left" readingOrder="0" shrinkToFit="0" vertical="center" wrapText="1"/>
    </xf>
    <xf borderId="16" fillId="0" fontId="6" numFmtId="0" xfId="0" applyBorder="1" applyFont="1"/>
    <xf borderId="17" fillId="0" fontId="6" numFmtId="0" xfId="0" applyBorder="1" applyFont="1"/>
    <xf borderId="14" fillId="3" fontId="14" numFmtId="2" xfId="0" applyAlignment="1" applyBorder="1" applyFont="1" applyNumberFormat="1">
      <alignment horizontal="right" readingOrder="0" vertical="center"/>
    </xf>
    <xf borderId="16" fillId="3" fontId="14" numFmtId="40" xfId="0" applyAlignment="1" applyBorder="1" applyFont="1" applyNumberFormat="1">
      <alignment horizontal="right" vertical="center"/>
    </xf>
    <xf borderId="1" fillId="3" fontId="5" numFmtId="0" xfId="0" applyAlignment="1" applyBorder="1" applyFont="1">
      <alignment readingOrder="0"/>
    </xf>
    <xf borderId="1" fillId="0" fontId="8" numFmtId="0" xfId="0" applyAlignment="1" applyBorder="1" applyFont="1">
      <alignment horizontal="center"/>
    </xf>
    <xf borderId="18" fillId="0" fontId="6" numFmtId="0" xfId="0" applyBorder="1" applyFont="1"/>
    <xf borderId="19" fillId="0" fontId="6" numFmtId="0" xfId="0" applyBorder="1" applyFont="1"/>
    <xf borderId="20" fillId="0" fontId="6" numFmtId="0" xfId="0" applyBorder="1" applyFont="1"/>
    <xf borderId="21" fillId="0" fontId="6" numFmtId="0" xfId="0" applyBorder="1" applyFont="1"/>
    <xf borderId="13" fillId="0" fontId="14" numFmtId="0" xfId="0" applyAlignment="1" applyBorder="1" applyFont="1">
      <alignment horizontal="center" readingOrder="0" vertical="center"/>
    </xf>
    <xf borderId="14" fillId="0" fontId="5" numFmtId="0" xfId="0" applyAlignment="1" applyBorder="1" applyFont="1">
      <alignment horizontal="center" readingOrder="0" vertical="center"/>
    </xf>
    <xf borderId="15" fillId="0" fontId="5" numFmtId="0" xfId="0" applyAlignment="1" applyBorder="1" applyFont="1">
      <alignment horizontal="left" readingOrder="0" shrinkToFit="0" vertical="center" wrapText="1"/>
    </xf>
    <xf borderId="14" fillId="0" fontId="14" numFmtId="2" xfId="0" applyAlignment="1" applyBorder="1" applyFont="1" applyNumberFormat="1">
      <alignment horizontal="right" readingOrder="0" vertical="center"/>
    </xf>
    <xf borderId="16" fillId="0" fontId="14" numFmtId="40" xfId="0" applyAlignment="1" applyBorder="1" applyFont="1" applyNumberFormat="1">
      <alignment horizontal="right" vertical="center"/>
    </xf>
    <xf borderId="1" fillId="0" fontId="5" numFmtId="0" xfId="0" applyAlignment="1" applyBorder="1" applyFont="1">
      <alignment readingOrder="0"/>
    </xf>
    <xf borderId="22" fillId="0" fontId="10" numFmtId="0" xfId="0" applyAlignment="1" applyBorder="1" applyFont="1">
      <alignment horizontal="center" readingOrder="0" vertical="center"/>
    </xf>
    <xf borderId="23" fillId="0" fontId="7" numFmtId="0" xfId="0" applyAlignment="1" applyBorder="1" applyFont="1">
      <alignment horizontal="center" readingOrder="0" vertical="center"/>
    </xf>
    <xf borderId="15" fillId="0" fontId="7" numFmtId="0" xfId="0" applyAlignment="1" applyBorder="1" applyFont="1">
      <alignment horizontal="left" readingOrder="0" shrinkToFit="0" vertical="center" wrapText="1"/>
    </xf>
    <xf borderId="14" fillId="0" fontId="10" numFmtId="0" xfId="0" applyAlignment="1" applyBorder="1" applyFont="1">
      <alignment horizontal="right" readingOrder="0" vertical="center"/>
    </xf>
    <xf borderId="16" fillId="0" fontId="10" numFmtId="40" xfId="0" applyAlignment="1" applyBorder="1" applyFont="1" applyNumberFormat="1">
      <alignment horizontal="right" vertical="center"/>
    </xf>
    <xf borderId="24" fillId="0" fontId="6" numFmtId="0" xfId="0" applyBorder="1" applyFont="1"/>
    <xf borderId="25" fillId="0" fontId="6" numFmtId="0" xfId="0" applyBorder="1" applyFont="1"/>
    <xf borderId="13" fillId="0" fontId="10" numFmtId="0" xfId="0" applyAlignment="1" applyBorder="1" applyFont="1">
      <alignment horizontal="center" readingOrder="0" vertical="center"/>
    </xf>
    <xf borderId="14" fillId="0" fontId="7" numFmtId="0" xfId="0" applyAlignment="1" applyBorder="1" applyFont="1">
      <alignment horizontal="center" readingOrder="0" vertical="center"/>
    </xf>
    <xf borderId="14" fillId="0" fontId="10" numFmtId="168" xfId="0" applyAlignment="1" applyBorder="1" applyFont="1" applyNumberFormat="1">
      <alignment horizontal="right" readingOrder="0" vertical="center"/>
    </xf>
    <xf borderId="13" fillId="0" fontId="10" numFmtId="0" xfId="0" applyAlignment="1" applyBorder="1" applyFont="1">
      <alignment horizontal="center" vertical="center"/>
    </xf>
    <xf borderId="14" fillId="0" fontId="7" numFmtId="0" xfId="0" applyAlignment="1" applyBorder="1" applyFont="1">
      <alignment horizontal="center" vertical="center"/>
    </xf>
    <xf borderId="15" fillId="0" fontId="7" numFmtId="0" xfId="0" applyAlignment="1" applyBorder="1" applyFont="1">
      <alignment horizontal="left" shrinkToFit="0" vertical="center" wrapText="1"/>
    </xf>
    <xf borderId="14" fillId="0" fontId="10" numFmtId="0" xfId="0" applyAlignment="1" applyBorder="1" applyFont="1">
      <alignment horizontal="right" vertical="center"/>
    </xf>
    <xf borderId="1" fillId="0" fontId="8"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4.88"/>
    <col customWidth="1" min="2" max="2" width="9.38"/>
    <col customWidth="1" min="3" max="3" width="17.0"/>
    <col customWidth="1" min="4" max="4" width="15.0"/>
    <col customWidth="1" min="5" max="5" width="12.0"/>
    <col customWidth="1" min="6" max="6" width="31.75"/>
    <col customWidth="1" min="7" max="7" width="14.75"/>
    <col customWidth="1" min="8" max="8" width="16.63"/>
    <col customWidth="1" min="9" max="9" width="10.25"/>
    <col customWidth="1" min="10" max="10" width="10.38"/>
    <col customWidth="1" min="11" max="15" width="8.63"/>
    <col customWidth="1" min="16" max="16" width="11.0"/>
    <col customWidth="1" min="17" max="22" width="8.63"/>
    <col customWidth="1" hidden="1" min="23" max="23" width="10.25"/>
    <col customWidth="1" hidden="1" min="24" max="24" width="8.63"/>
    <col customWidth="1" hidden="1" min="25" max="25" width="18.63"/>
    <col customWidth="1" min="26" max="26" width="8.63"/>
  </cols>
  <sheetData>
    <row r="1" ht="12.75" customHeight="1">
      <c r="A1" s="1"/>
      <c r="B1" s="1"/>
      <c r="C1" s="2" t="s">
        <v>0</v>
      </c>
      <c r="J1" s="3" t="s">
        <v>1</v>
      </c>
      <c r="K1" s="4" t="s">
        <v>2</v>
      </c>
      <c r="Q1" s="5" t="s">
        <v>3</v>
      </c>
      <c r="R1" s="6"/>
      <c r="S1" s="6"/>
      <c r="T1" s="6"/>
      <c r="U1" s="6"/>
      <c r="V1" s="7"/>
      <c r="W1" s="8" t="s">
        <v>4</v>
      </c>
      <c r="Y1" s="8" t="s">
        <v>5</v>
      </c>
    </row>
    <row r="2" ht="12.0" customHeight="1">
      <c r="A2" s="9" t="s">
        <v>6</v>
      </c>
      <c r="J2" s="10">
        <f>SUM(J16:J97)</f>
        <v>203.46</v>
      </c>
      <c r="Q2" s="11"/>
      <c r="V2" s="12"/>
      <c r="W2" s="13" t="s">
        <v>7</v>
      </c>
      <c r="Y2" s="13" t="s">
        <v>8</v>
      </c>
    </row>
    <row r="3" ht="21.75" customHeight="1">
      <c r="C3" s="14">
        <v>46106.0</v>
      </c>
      <c r="D3" s="15"/>
      <c r="E3" s="13"/>
      <c r="F3" s="16" t="s">
        <v>9</v>
      </c>
      <c r="G3" s="17"/>
      <c r="H3" s="18"/>
      <c r="I3" s="19" t="s">
        <v>10</v>
      </c>
      <c r="J3" s="19"/>
      <c r="Q3" s="11"/>
      <c r="V3" s="12"/>
      <c r="W3" s="13" t="s">
        <v>11</v>
      </c>
      <c r="Y3" s="13" t="s">
        <v>12</v>
      </c>
    </row>
    <row r="4" ht="21.75" customHeight="1">
      <c r="A4" s="9" t="s">
        <v>13</v>
      </c>
      <c r="C4" s="20"/>
      <c r="D4" s="15"/>
      <c r="E4" s="13"/>
      <c r="F4" s="16" t="s">
        <v>14</v>
      </c>
      <c r="H4" s="19"/>
      <c r="I4" s="15"/>
      <c r="J4" s="15"/>
      <c r="Q4" s="11"/>
      <c r="V4" s="12"/>
      <c r="Y4" s="13" t="s">
        <v>15</v>
      </c>
    </row>
    <row r="5" ht="27.75" customHeight="1">
      <c r="A5" s="9" t="s">
        <v>16</v>
      </c>
      <c r="C5" s="21" t="s">
        <v>11</v>
      </c>
      <c r="D5" s="15"/>
      <c r="E5" s="22"/>
      <c r="F5" s="23" t="s">
        <v>17</v>
      </c>
      <c r="H5" s="24" t="s">
        <v>18</v>
      </c>
      <c r="I5" s="25" t="s">
        <v>19</v>
      </c>
      <c r="J5" s="15"/>
      <c r="Q5" s="11"/>
      <c r="V5" s="12"/>
      <c r="Y5" s="13" t="s">
        <v>20</v>
      </c>
    </row>
    <row r="6" ht="36.0" customHeight="1">
      <c r="A6" s="9" t="s">
        <v>21</v>
      </c>
      <c r="C6" s="26"/>
      <c r="D6" s="27"/>
      <c r="E6" s="27"/>
      <c r="F6" s="28" t="s">
        <v>22</v>
      </c>
      <c r="H6" s="29" t="s">
        <v>23</v>
      </c>
      <c r="I6" s="30"/>
      <c r="J6" s="30"/>
      <c r="Q6" s="11"/>
      <c r="V6" s="12"/>
      <c r="Y6" s="13" t="s">
        <v>24</v>
      </c>
    </row>
    <row r="7" ht="17.25" customHeight="1">
      <c r="C7" s="31" t="s">
        <v>25</v>
      </c>
      <c r="D7" s="15"/>
      <c r="E7" s="27"/>
      <c r="F7" s="16" t="s">
        <v>26</v>
      </c>
      <c r="H7" s="32" t="s">
        <v>27</v>
      </c>
      <c r="Q7" s="11"/>
      <c r="V7" s="12"/>
      <c r="Y7" s="13" t="s">
        <v>28</v>
      </c>
    </row>
    <row r="8" ht="16.5" customHeight="1">
      <c r="A8" s="9" t="s">
        <v>29</v>
      </c>
      <c r="C8" s="33" t="s">
        <v>30</v>
      </c>
      <c r="D8" s="30"/>
      <c r="E8" s="30"/>
      <c r="F8" s="30"/>
      <c r="G8" s="30"/>
      <c r="H8" s="30"/>
      <c r="I8" s="30"/>
      <c r="J8" s="34"/>
      <c r="Q8" s="11"/>
      <c r="V8" s="12"/>
      <c r="Y8" s="13" t="s">
        <v>31</v>
      </c>
    </row>
    <row r="9" ht="48.0" customHeight="1">
      <c r="C9" s="35" t="s">
        <v>32</v>
      </c>
      <c r="D9" s="30"/>
      <c r="E9" s="27"/>
      <c r="F9" s="36" t="s">
        <v>33</v>
      </c>
      <c r="H9" s="37" t="s">
        <v>34</v>
      </c>
      <c r="Q9" s="11"/>
      <c r="V9" s="12"/>
      <c r="Y9" s="13" t="s">
        <v>35</v>
      </c>
    </row>
    <row r="10" ht="17.25" customHeight="1">
      <c r="A10" s="9" t="s">
        <v>36</v>
      </c>
      <c r="C10" s="38"/>
      <c r="D10" s="39"/>
      <c r="E10" s="39"/>
      <c r="F10" s="40" t="s">
        <v>37</v>
      </c>
      <c r="H10" s="41" t="s">
        <v>38</v>
      </c>
      <c r="I10" s="30"/>
      <c r="J10" s="30"/>
      <c r="K10" s="42" t="s">
        <v>39</v>
      </c>
      <c r="L10" s="6"/>
      <c r="M10" s="6"/>
      <c r="N10" s="6"/>
      <c r="O10" s="6"/>
      <c r="P10" s="6"/>
      <c r="Q10" s="11"/>
      <c r="V10" s="12"/>
      <c r="W10" s="43"/>
      <c r="X10" s="43"/>
      <c r="Y10" s="13" t="s">
        <v>40</v>
      </c>
      <c r="Z10" s="43"/>
    </row>
    <row r="11" ht="17.25" customHeight="1">
      <c r="C11" s="44" t="s">
        <v>41</v>
      </c>
      <c r="D11" s="15"/>
      <c r="E11" s="39"/>
      <c r="F11" s="40" t="s">
        <v>42</v>
      </c>
      <c r="H11" s="29" t="s">
        <v>27</v>
      </c>
      <c r="I11" s="30"/>
      <c r="J11" s="30"/>
      <c r="K11" s="11"/>
      <c r="Q11" s="11"/>
      <c r="V11" s="12"/>
      <c r="W11" s="43"/>
      <c r="X11" s="43"/>
      <c r="Y11" s="13" t="s">
        <v>43</v>
      </c>
      <c r="Z11" s="43"/>
    </row>
    <row r="12" ht="17.25" customHeight="1">
      <c r="A12" s="38"/>
      <c r="E12" s="39"/>
      <c r="F12" s="40" t="s">
        <v>44</v>
      </c>
      <c r="H12" s="45" t="s">
        <v>23</v>
      </c>
      <c r="I12" s="30"/>
      <c r="J12" s="30"/>
      <c r="K12" s="46"/>
      <c r="L12" s="15"/>
      <c r="M12" s="15"/>
      <c r="N12" s="15"/>
      <c r="O12" s="15"/>
      <c r="P12" s="15"/>
      <c r="Q12" s="11"/>
      <c r="V12" s="12"/>
      <c r="W12" s="43"/>
      <c r="X12" s="43"/>
      <c r="Y12" s="13" t="s">
        <v>45</v>
      </c>
      <c r="Z12" s="43"/>
    </row>
    <row r="13" ht="29.25" customHeight="1">
      <c r="A13" s="47"/>
      <c r="B13" s="48" t="s">
        <v>46</v>
      </c>
      <c r="C13" s="49" t="s">
        <v>36</v>
      </c>
      <c r="D13" s="49" t="s">
        <v>47</v>
      </c>
      <c r="E13" s="50" t="s">
        <v>48</v>
      </c>
      <c r="F13" s="51" t="s">
        <v>49</v>
      </c>
      <c r="G13" s="49" t="s">
        <v>50</v>
      </c>
      <c r="H13" s="52" t="s">
        <v>51</v>
      </c>
      <c r="I13" s="52" t="s">
        <v>52</v>
      </c>
      <c r="J13" s="53"/>
      <c r="K13" s="54" t="s">
        <v>53</v>
      </c>
      <c r="L13" s="6"/>
      <c r="M13" s="6"/>
      <c r="N13" s="6"/>
      <c r="O13" s="6"/>
      <c r="P13" s="7"/>
      <c r="Q13" s="11"/>
      <c r="V13" s="12"/>
      <c r="W13" s="43"/>
      <c r="X13" s="43"/>
      <c r="Y13" s="13" t="s">
        <v>54</v>
      </c>
      <c r="Z13" s="43"/>
    </row>
    <row r="14" ht="41.25" customHeight="1">
      <c r="A14" s="47"/>
      <c r="B14" s="55" t="str">
        <f>H5</f>
        <v>PR_17</v>
      </c>
      <c r="C14" s="56" t="str">
        <f>C11</f>
        <v>Digikey</v>
      </c>
      <c r="D14" s="57" t="str">
        <f>C4</f>
        <v/>
      </c>
      <c r="E14" s="58">
        <f>J2</f>
        <v>203.46</v>
      </c>
      <c r="F14" s="59"/>
      <c r="G14" s="57"/>
      <c r="H14" s="60" t="str">
        <f>G3</f>
        <v/>
      </c>
      <c r="I14" s="61" t="str">
        <f>H4</f>
        <v/>
      </c>
      <c r="J14" s="62"/>
      <c r="K14" s="46"/>
      <c r="L14" s="15"/>
      <c r="M14" s="15"/>
      <c r="N14" s="15"/>
      <c r="O14" s="15"/>
      <c r="P14" s="63"/>
      <c r="Q14" s="11"/>
      <c r="V14" s="12"/>
      <c r="W14" s="43"/>
      <c r="X14" s="43"/>
      <c r="Y14" s="13" t="s">
        <v>55</v>
      </c>
      <c r="Z14" s="43"/>
    </row>
    <row r="15" ht="22.5" customHeight="1">
      <c r="A15" s="38" t="s">
        <v>56</v>
      </c>
      <c r="B15" s="38" t="s">
        <v>57</v>
      </c>
      <c r="C15" s="38" t="s">
        <v>58</v>
      </c>
      <c r="D15" s="64" t="s">
        <v>59</v>
      </c>
      <c r="E15" s="65"/>
      <c r="F15" s="65"/>
      <c r="G15" s="65"/>
      <c r="H15" s="65"/>
      <c r="I15" s="66" t="s">
        <v>60</v>
      </c>
      <c r="J15" s="66" t="s">
        <v>61</v>
      </c>
      <c r="K15" s="67" t="s">
        <v>62</v>
      </c>
      <c r="L15" s="7"/>
      <c r="M15" s="43" t="s">
        <v>63</v>
      </c>
      <c r="N15" s="43"/>
      <c r="O15" s="43"/>
      <c r="P15" s="43"/>
      <c r="Q15" s="46"/>
      <c r="R15" s="15"/>
      <c r="S15" s="15"/>
      <c r="T15" s="15"/>
      <c r="U15" s="15"/>
      <c r="V15" s="63"/>
      <c r="W15" s="43"/>
      <c r="X15" s="43"/>
      <c r="Y15" s="13" t="s">
        <v>64</v>
      </c>
      <c r="Z15" s="43"/>
    </row>
    <row r="16" ht="18.0" customHeight="1">
      <c r="A16" s="68">
        <v>1.0</v>
      </c>
      <c r="B16" s="69">
        <v>54.0</v>
      </c>
      <c r="C16" s="70" t="s">
        <v>65</v>
      </c>
      <c r="D16" s="71" t="s">
        <v>66</v>
      </c>
      <c r="E16" s="72"/>
      <c r="F16" s="72"/>
      <c r="G16" s="72"/>
      <c r="H16" s="73"/>
      <c r="I16" s="74">
        <v>0.39</v>
      </c>
      <c r="J16" s="75">
        <f>I16*B16</f>
        <v>21.06</v>
      </c>
      <c r="K16" s="76" t="s">
        <v>67</v>
      </c>
      <c r="L16" s="7"/>
      <c r="M16" s="77"/>
      <c r="N16" s="6"/>
      <c r="O16" s="6"/>
      <c r="P16" s="7"/>
      <c r="Y16" s="13" t="s">
        <v>68</v>
      </c>
    </row>
    <row r="17" ht="18.0" customHeight="1">
      <c r="B17" s="78"/>
      <c r="C17" s="79"/>
      <c r="D17" s="80"/>
      <c r="E17" s="65"/>
      <c r="F17" s="65"/>
      <c r="G17" s="65"/>
      <c r="H17" s="81"/>
      <c r="I17" s="79"/>
      <c r="J17" s="65"/>
      <c r="K17" s="46"/>
      <c r="L17" s="63"/>
      <c r="M17" s="46"/>
      <c r="N17" s="15"/>
      <c r="O17" s="15"/>
      <c r="P17" s="63"/>
      <c r="Y17" s="13" t="s">
        <v>69</v>
      </c>
    </row>
    <row r="18" ht="18.0" customHeight="1">
      <c r="A18" s="68">
        <v>2.0</v>
      </c>
      <c r="B18" s="82">
        <v>24.0</v>
      </c>
      <c r="C18" s="83" t="s">
        <v>70</v>
      </c>
      <c r="D18" s="84" t="s">
        <v>71</v>
      </c>
      <c r="E18" s="72"/>
      <c r="F18" s="72"/>
      <c r="G18" s="72"/>
      <c r="H18" s="73"/>
      <c r="I18" s="85">
        <v>0.1</v>
      </c>
      <c r="J18" s="86">
        <f>I18*B18</f>
        <v>2.4</v>
      </c>
      <c r="K18" s="87" t="s">
        <v>67</v>
      </c>
      <c r="L18" s="7"/>
      <c r="M18" s="77"/>
      <c r="N18" s="6"/>
      <c r="O18" s="6"/>
      <c r="P18" s="7"/>
      <c r="Y18" s="13" t="s">
        <v>18</v>
      </c>
    </row>
    <row r="19" ht="18.0" customHeight="1">
      <c r="B19" s="78"/>
      <c r="C19" s="79"/>
      <c r="D19" s="80"/>
      <c r="E19" s="65"/>
      <c r="F19" s="65"/>
      <c r="G19" s="65"/>
      <c r="H19" s="81"/>
      <c r="I19" s="79"/>
      <c r="J19" s="65"/>
      <c r="K19" s="46"/>
      <c r="L19" s="63"/>
      <c r="M19" s="46"/>
      <c r="N19" s="15"/>
      <c r="O19" s="15"/>
      <c r="P19" s="63"/>
      <c r="Y19" s="13" t="s">
        <v>72</v>
      </c>
    </row>
    <row r="20" ht="18.0" customHeight="1">
      <c r="A20" s="68">
        <v>3.0</v>
      </c>
      <c r="B20" s="88">
        <v>10.0</v>
      </c>
      <c r="C20" s="89" t="s">
        <v>73</v>
      </c>
      <c r="D20" s="90" t="s">
        <v>74</v>
      </c>
      <c r="E20" s="72"/>
      <c r="F20" s="72"/>
      <c r="G20" s="72"/>
      <c r="H20" s="73"/>
      <c r="I20" s="91">
        <v>0.1</v>
      </c>
      <c r="J20" s="92">
        <f>I20*B20</f>
        <v>1</v>
      </c>
      <c r="K20" s="87" t="s">
        <v>67</v>
      </c>
      <c r="L20" s="7"/>
      <c r="M20" s="77"/>
      <c r="N20" s="6"/>
      <c r="O20" s="6"/>
      <c r="P20" s="7"/>
      <c r="Y20" s="13" t="s">
        <v>75</v>
      </c>
    </row>
    <row r="21" ht="18.0" customHeight="1">
      <c r="B21" s="93"/>
      <c r="C21" s="94"/>
      <c r="D21" s="80"/>
      <c r="E21" s="65"/>
      <c r="F21" s="65"/>
      <c r="G21" s="65"/>
      <c r="H21" s="81"/>
      <c r="I21" s="79"/>
      <c r="J21" s="65"/>
      <c r="K21" s="46"/>
      <c r="L21" s="63"/>
      <c r="M21" s="46"/>
      <c r="N21" s="15"/>
      <c r="O21" s="15"/>
      <c r="P21" s="63"/>
      <c r="Y21" s="13" t="s">
        <v>76</v>
      </c>
    </row>
    <row r="22" ht="18.0" customHeight="1">
      <c r="A22" s="68">
        <v>4.0</v>
      </c>
      <c r="B22" s="95">
        <v>5.0</v>
      </c>
      <c r="C22" s="96" t="s">
        <v>77</v>
      </c>
      <c r="D22" s="90" t="s">
        <v>78</v>
      </c>
      <c r="E22" s="72"/>
      <c r="F22" s="72"/>
      <c r="G22" s="72"/>
      <c r="H22" s="73"/>
      <c r="I22" s="91">
        <v>0.17</v>
      </c>
      <c r="J22" s="92">
        <f>I22*B22</f>
        <v>0.85</v>
      </c>
      <c r="K22" s="87" t="s">
        <v>67</v>
      </c>
      <c r="L22" s="7"/>
      <c r="M22" s="77"/>
      <c r="N22" s="6"/>
      <c r="O22" s="6"/>
      <c r="P22" s="7"/>
      <c r="Y22" s="13" t="s">
        <v>79</v>
      </c>
    </row>
    <row r="23" ht="18.0" customHeight="1">
      <c r="B23" s="78"/>
      <c r="C23" s="79"/>
      <c r="D23" s="80"/>
      <c r="E23" s="65"/>
      <c r="F23" s="65"/>
      <c r="G23" s="65"/>
      <c r="H23" s="81"/>
      <c r="I23" s="79"/>
      <c r="J23" s="65"/>
      <c r="K23" s="46"/>
      <c r="L23" s="63"/>
      <c r="M23" s="46"/>
      <c r="N23" s="15"/>
      <c r="O23" s="15"/>
      <c r="P23" s="63"/>
      <c r="Y23" s="13" t="s">
        <v>80</v>
      </c>
    </row>
    <row r="24" ht="18.0" customHeight="1">
      <c r="A24" s="68">
        <v>5.0</v>
      </c>
      <c r="B24" s="88">
        <v>30.0</v>
      </c>
      <c r="C24" s="89" t="s">
        <v>81</v>
      </c>
      <c r="D24" s="90" t="s">
        <v>82</v>
      </c>
      <c r="E24" s="72"/>
      <c r="F24" s="72"/>
      <c r="G24" s="72"/>
      <c r="H24" s="73"/>
      <c r="I24" s="91">
        <v>0.1</v>
      </c>
      <c r="J24" s="92">
        <f>I24*B24</f>
        <v>3</v>
      </c>
      <c r="K24" s="87" t="s">
        <v>67</v>
      </c>
      <c r="L24" s="7"/>
      <c r="M24" s="77"/>
      <c r="N24" s="6"/>
      <c r="O24" s="6"/>
      <c r="P24" s="7"/>
      <c r="Y24" s="13" t="s">
        <v>83</v>
      </c>
    </row>
    <row r="25" ht="18.0" customHeight="1">
      <c r="B25" s="93"/>
      <c r="C25" s="94"/>
      <c r="D25" s="80"/>
      <c r="E25" s="65"/>
      <c r="F25" s="65"/>
      <c r="G25" s="65"/>
      <c r="H25" s="81"/>
      <c r="I25" s="79"/>
      <c r="J25" s="65"/>
      <c r="K25" s="46"/>
      <c r="L25" s="63"/>
      <c r="M25" s="46"/>
      <c r="N25" s="15"/>
      <c r="O25" s="15"/>
      <c r="P25" s="63"/>
      <c r="Y25" s="13" t="s">
        <v>84</v>
      </c>
    </row>
    <row r="26" ht="18.0" customHeight="1">
      <c r="A26" s="68">
        <v>6.0</v>
      </c>
      <c r="B26" s="95">
        <v>30.0</v>
      </c>
      <c r="C26" s="96" t="s">
        <v>85</v>
      </c>
      <c r="D26" s="90" t="s">
        <v>86</v>
      </c>
      <c r="E26" s="72"/>
      <c r="F26" s="72"/>
      <c r="G26" s="72"/>
      <c r="H26" s="73"/>
      <c r="I26" s="91">
        <v>0.1</v>
      </c>
      <c r="J26" s="92">
        <f>I26*B26</f>
        <v>3</v>
      </c>
      <c r="K26" s="87" t="s">
        <v>67</v>
      </c>
      <c r="L26" s="7"/>
      <c r="M26" s="77"/>
      <c r="N26" s="6"/>
      <c r="O26" s="6"/>
      <c r="P26" s="7"/>
      <c r="Y26" s="13" t="s">
        <v>87</v>
      </c>
    </row>
    <row r="27" ht="18.0" customHeight="1">
      <c r="B27" s="78"/>
      <c r="C27" s="79"/>
      <c r="D27" s="80"/>
      <c r="E27" s="65"/>
      <c r="F27" s="65"/>
      <c r="G27" s="65"/>
      <c r="H27" s="81"/>
      <c r="I27" s="79"/>
      <c r="J27" s="65"/>
      <c r="K27" s="46"/>
      <c r="L27" s="63"/>
      <c r="M27" s="46"/>
      <c r="N27" s="15"/>
      <c r="O27" s="15"/>
      <c r="P27" s="63"/>
      <c r="Y27" s="13" t="s">
        <v>88</v>
      </c>
    </row>
    <row r="28" ht="18.0" customHeight="1">
      <c r="A28" s="68">
        <v>7.0</v>
      </c>
      <c r="B28" s="88">
        <v>5.0</v>
      </c>
      <c r="C28" s="89" t="s">
        <v>89</v>
      </c>
      <c r="D28" s="90" t="s">
        <v>90</v>
      </c>
      <c r="E28" s="72"/>
      <c r="F28" s="72"/>
      <c r="G28" s="72"/>
      <c r="H28" s="73"/>
      <c r="I28" s="91">
        <v>0.89</v>
      </c>
      <c r="J28" s="92">
        <f>I28*B28</f>
        <v>4.45</v>
      </c>
      <c r="K28" s="87" t="s">
        <v>67</v>
      </c>
      <c r="L28" s="7"/>
      <c r="M28" s="77"/>
      <c r="N28" s="6"/>
      <c r="O28" s="6"/>
      <c r="P28" s="7"/>
      <c r="Y28" s="13" t="s">
        <v>91</v>
      </c>
    </row>
    <row r="29" ht="18.0" customHeight="1">
      <c r="B29" s="93"/>
      <c r="C29" s="94"/>
      <c r="D29" s="80"/>
      <c r="E29" s="65"/>
      <c r="F29" s="65"/>
      <c r="G29" s="65"/>
      <c r="H29" s="81"/>
      <c r="I29" s="79"/>
      <c r="J29" s="65"/>
      <c r="K29" s="46"/>
      <c r="L29" s="63"/>
      <c r="M29" s="46"/>
      <c r="N29" s="15"/>
      <c r="O29" s="15"/>
      <c r="P29" s="63"/>
      <c r="Y29" s="13" t="s">
        <v>92</v>
      </c>
    </row>
    <row r="30" ht="18.0" customHeight="1">
      <c r="A30" s="68">
        <v>8.0</v>
      </c>
      <c r="B30" s="95">
        <v>10.0</v>
      </c>
      <c r="C30" s="96" t="s">
        <v>93</v>
      </c>
      <c r="D30" s="90" t="s">
        <v>94</v>
      </c>
      <c r="E30" s="72"/>
      <c r="F30" s="72"/>
      <c r="G30" s="72"/>
      <c r="H30" s="73"/>
      <c r="I30" s="91">
        <v>0.34</v>
      </c>
      <c r="J30" s="92">
        <f>I30*B30</f>
        <v>3.4</v>
      </c>
      <c r="K30" s="87" t="s">
        <v>67</v>
      </c>
      <c r="L30" s="7"/>
      <c r="M30" s="77"/>
      <c r="N30" s="6"/>
      <c r="O30" s="6"/>
      <c r="P30" s="7"/>
      <c r="Y30" s="13" t="s">
        <v>95</v>
      </c>
    </row>
    <row r="31" ht="18.0" customHeight="1">
      <c r="B31" s="78"/>
      <c r="C31" s="79"/>
      <c r="D31" s="80"/>
      <c r="E31" s="65"/>
      <c r="F31" s="65"/>
      <c r="G31" s="65"/>
      <c r="H31" s="81"/>
      <c r="I31" s="79"/>
      <c r="J31" s="65"/>
      <c r="K31" s="46"/>
      <c r="L31" s="63"/>
      <c r="M31" s="46"/>
      <c r="N31" s="15"/>
      <c r="O31" s="15"/>
      <c r="P31" s="63"/>
      <c r="Y31" s="13" t="s">
        <v>96</v>
      </c>
    </row>
    <row r="32" ht="18.0" customHeight="1">
      <c r="A32" s="68">
        <v>9.0</v>
      </c>
      <c r="B32" s="88">
        <v>5.0</v>
      </c>
      <c r="C32" s="89" t="s">
        <v>97</v>
      </c>
      <c r="D32" s="90" t="s">
        <v>98</v>
      </c>
      <c r="E32" s="72"/>
      <c r="F32" s="72"/>
      <c r="G32" s="72"/>
      <c r="H32" s="73"/>
      <c r="I32" s="91">
        <v>1.44</v>
      </c>
      <c r="J32" s="92">
        <f>I32*B32</f>
        <v>7.2</v>
      </c>
      <c r="K32" s="87" t="s">
        <v>67</v>
      </c>
      <c r="L32" s="7"/>
      <c r="M32" s="77"/>
      <c r="N32" s="6"/>
      <c r="O32" s="6"/>
      <c r="P32" s="7"/>
      <c r="Y32" s="13" t="s">
        <v>99</v>
      </c>
    </row>
    <row r="33" ht="18.0" customHeight="1">
      <c r="B33" s="93"/>
      <c r="C33" s="94"/>
      <c r="D33" s="80"/>
      <c r="E33" s="65"/>
      <c r="F33" s="65"/>
      <c r="G33" s="65"/>
      <c r="H33" s="81"/>
      <c r="I33" s="79"/>
      <c r="J33" s="65"/>
      <c r="K33" s="46"/>
      <c r="L33" s="63"/>
      <c r="M33" s="46"/>
      <c r="N33" s="15"/>
      <c r="O33" s="15"/>
      <c r="P33" s="63"/>
      <c r="Y33" s="13" t="s">
        <v>100</v>
      </c>
    </row>
    <row r="34" ht="18.0" customHeight="1">
      <c r="A34" s="68">
        <v>10.0</v>
      </c>
      <c r="B34" s="95">
        <v>10.0</v>
      </c>
      <c r="C34" s="96" t="s">
        <v>101</v>
      </c>
      <c r="D34" s="90" t="s">
        <v>102</v>
      </c>
      <c r="E34" s="72"/>
      <c r="F34" s="72"/>
      <c r="G34" s="72"/>
      <c r="H34" s="73"/>
      <c r="I34" s="91">
        <v>0.1</v>
      </c>
      <c r="J34" s="92">
        <f>I34*B34</f>
        <v>1</v>
      </c>
      <c r="K34" s="87" t="s">
        <v>67</v>
      </c>
      <c r="L34" s="7"/>
      <c r="M34" s="77"/>
      <c r="N34" s="6"/>
      <c r="O34" s="6"/>
      <c r="P34" s="7"/>
      <c r="Y34" s="13" t="s">
        <v>103</v>
      </c>
    </row>
    <row r="35" ht="18.0" customHeight="1">
      <c r="B35" s="78"/>
      <c r="C35" s="79"/>
      <c r="D35" s="80"/>
      <c r="E35" s="65"/>
      <c r="F35" s="65"/>
      <c r="G35" s="65"/>
      <c r="H35" s="81"/>
      <c r="I35" s="79"/>
      <c r="J35" s="65"/>
      <c r="K35" s="46"/>
      <c r="L35" s="63"/>
      <c r="M35" s="46"/>
      <c r="N35" s="15"/>
      <c r="O35" s="15"/>
      <c r="P35" s="63"/>
      <c r="Y35" s="13" t="s">
        <v>104</v>
      </c>
    </row>
    <row r="36" ht="14.25" customHeight="1">
      <c r="A36" s="68">
        <v>11.0</v>
      </c>
      <c r="B36" s="95">
        <v>5.0</v>
      </c>
      <c r="C36" s="96" t="s">
        <v>105</v>
      </c>
      <c r="D36" s="90" t="s">
        <v>106</v>
      </c>
      <c r="E36" s="72"/>
      <c r="F36" s="72"/>
      <c r="G36" s="72"/>
      <c r="H36" s="73"/>
      <c r="I36" s="97">
        <v>0.1</v>
      </c>
      <c r="J36" s="92">
        <f>I36*B36</f>
        <v>0.5</v>
      </c>
      <c r="K36" s="87" t="s">
        <v>67</v>
      </c>
      <c r="L36" s="7"/>
      <c r="M36" s="77"/>
      <c r="N36" s="6"/>
      <c r="O36" s="6"/>
      <c r="P36" s="7"/>
      <c r="Y36" s="13" t="s">
        <v>107</v>
      </c>
    </row>
    <row r="37" ht="14.25" customHeight="1">
      <c r="B37" s="78"/>
      <c r="C37" s="79"/>
      <c r="D37" s="80"/>
      <c r="E37" s="65"/>
      <c r="F37" s="65"/>
      <c r="G37" s="65"/>
      <c r="H37" s="81"/>
      <c r="I37" s="79"/>
      <c r="J37" s="65"/>
      <c r="K37" s="46"/>
      <c r="L37" s="63"/>
      <c r="M37" s="46"/>
      <c r="N37" s="15"/>
      <c r="O37" s="15"/>
      <c r="P37" s="63"/>
      <c r="Y37" s="13" t="s">
        <v>108</v>
      </c>
    </row>
    <row r="38" ht="14.25" customHeight="1">
      <c r="A38" s="68">
        <v>12.0</v>
      </c>
      <c r="B38" s="95">
        <v>10.0</v>
      </c>
      <c r="C38" s="96" t="s">
        <v>109</v>
      </c>
      <c r="D38" s="90" t="s">
        <v>110</v>
      </c>
      <c r="E38" s="72"/>
      <c r="F38" s="72"/>
      <c r="G38" s="72"/>
      <c r="H38" s="73"/>
      <c r="I38" s="97">
        <v>0.18</v>
      </c>
      <c r="J38" s="92">
        <f>I38*B38</f>
        <v>1.8</v>
      </c>
      <c r="K38" s="87" t="s">
        <v>67</v>
      </c>
      <c r="L38" s="7"/>
      <c r="M38" s="77"/>
      <c r="N38" s="6"/>
      <c r="O38" s="6"/>
      <c r="P38" s="7"/>
      <c r="Y38" s="13" t="s">
        <v>111</v>
      </c>
    </row>
    <row r="39" ht="14.25" customHeight="1">
      <c r="B39" s="78"/>
      <c r="C39" s="79"/>
      <c r="D39" s="80"/>
      <c r="E39" s="65"/>
      <c r="F39" s="65"/>
      <c r="G39" s="65"/>
      <c r="H39" s="81"/>
      <c r="I39" s="79"/>
      <c r="J39" s="65"/>
      <c r="K39" s="46"/>
      <c r="L39" s="63"/>
      <c r="M39" s="46"/>
      <c r="N39" s="15"/>
      <c r="O39" s="15"/>
      <c r="P39" s="63"/>
      <c r="Y39" s="13" t="s">
        <v>112</v>
      </c>
    </row>
    <row r="40" ht="14.25" customHeight="1">
      <c r="A40" s="68">
        <v>13.0</v>
      </c>
      <c r="B40" s="95">
        <v>5.0</v>
      </c>
      <c r="C40" s="96" t="s">
        <v>113</v>
      </c>
      <c r="D40" s="90" t="s">
        <v>114</v>
      </c>
      <c r="E40" s="72"/>
      <c r="F40" s="72"/>
      <c r="G40" s="72"/>
      <c r="H40" s="73"/>
      <c r="I40" s="91">
        <v>0.11</v>
      </c>
      <c r="J40" s="92">
        <f>I40*B40</f>
        <v>0.55</v>
      </c>
      <c r="K40" s="87" t="s">
        <v>67</v>
      </c>
      <c r="L40" s="7"/>
      <c r="M40" s="77"/>
      <c r="N40" s="6"/>
      <c r="O40" s="6"/>
      <c r="P40" s="7"/>
      <c r="Y40" s="13" t="s">
        <v>115</v>
      </c>
    </row>
    <row r="41" ht="14.25" customHeight="1">
      <c r="B41" s="78"/>
      <c r="C41" s="79"/>
      <c r="D41" s="80"/>
      <c r="E41" s="65"/>
      <c r="F41" s="65"/>
      <c r="G41" s="65"/>
      <c r="H41" s="81"/>
      <c r="I41" s="79"/>
      <c r="J41" s="65"/>
      <c r="K41" s="46"/>
      <c r="L41" s="63"/>
      <c r="M41" s="46"/>
      <c r="N41" s="15"/>
      <c r="O41" s="15"/>
      <c r="P41" s="63"/>
      <c r="Y41" s="13" t="s">
        <v>116</v>
      </c>
    </row>
    <row r="42" ht="12.0" customHeight="1">
      <c r="A42" s="68">
        <v>14.0</v>
      </c>
      <c r="B42" s="95">
        <v>10.0</v>
      </c>
      <c r="C42" s="96" t="s">
        <v>117</v>
      </c>
      <c r="D42" s="90" t="s">
        <v>118</v>
      </c>
      <c r="E42" s="72"/>
      <c r="F42" s="72"/>
      <c r="G42" s="72"/>
      <c r="H42" s="73"/>
      <c r="I42" s="91">
        <v>0.1</v>
      </c>
      <c r="J42" s="92">
        <f>I42*B42</f>
        <v>1</v>
      </c>
      <c r="K42" s="87" t="s">
        <v>67</v>
      </c>
      <c r="L42" s="7"/>
      <c r="M42" s="77"/>
      <c r="N42" s="6"/>
      <c r="O42" s="6"/>
      <c r="P42" s="7"/>
      <c r="Y42" s="13" t="s">
        <v>119</v>
      </c>
    </row>
    <row r="43" ht="12.0" customHeight="1">
      <c r="B43" s="78"/>
      <c r="C43" s="79"/>
      <c r="D43" s="80"/>
      <c r="E43" s="65"/>
      <c r="F43" s="65"/>
      <c r="G43" s="65"/>
      <c r="H43" s="81"/>
      <c r="I43" s="79"/>
      <c r="J43" s="65"/>
      <c r="K43" s="46"/>
      <c r="L43" s="63"/>
      <c r="M43" s="46"/>
      <c r="N43" s="15"/>
      <c r="O43" s="15"/>
      <c r="P43" s="63"/>
      <c r="Y43" s="13" t="s">
        <v>120</v>
      </c>
    </row>
    <row r="44" ht="12.0" customHeight="1">
      <c r="A44" s="68">
        <v>15.0</v>
      </c>
      <c r="B44" s="95">
        <v>5.0</v>
      </c>
      <c r="C44" s="96" t="s">
        <v>121</v>
      </c>
      <c r="D44" s="90" t="s">
        <v>122</v>
      </c>
      <c r="E44" s="72"/>
      <c r="F44" s="72"/>
      <c r="G44" s="72"/>
      <c r="H44" s="73"/>
      <c r="I44" s="91">
        <v>4.43</v>
      </c>
      <c r="J44" s="92">
        <f>I44*B44</f>
        <v>22.15</v>
      </c>
      <c r="K44" s="87" t="s">
        <v>67</v>
      </c>
      <c r="L44" s="7"/>
      <c r="M44" s="77"/>
      <c r="N44" s="6"/>
      <c r="O44" s="6"/>
      <c r="P44" s="7"/>
      <c r="Y44" s="13" t="s">
        <v>123</v>
      </c>
    </row>
    <row r="45" ht="12.0" customHeight="1">
      <c r="B45" s="78"/>
      <c r="C45" s="79"/>
      <c r="D45" s="80"/>
      <c r="E45" s="65"/>
      <c r="F45" s="65"/>
      <c r="G45" s="65"/>
      <c r="H45" s="81"/>
      <c r="I45" s="79"/>
      <c r="J45" s="65"/>
      <c r="K45" s="46"/>
      <c r="L45" s="63"/>
      <c r="M45" s="46"/>
      <c r="N45" s="15"/>
      <c r="O45" s="15"/>
      <c r="P45" s="63"/>
      <c r="Y45" s="13" t="s">
        <v>124</v>
      </c>
    </row>
    <row r="46" ht="12.0" customHeight="1">
      <c r="A46" s="68">
        <v>16.0</v>
      </c>
      <c r="B46" s="95">
        <v>15.0</v>
      </c>
      <c r="C46" s="96" t="s">
        <v>125</v>
      </c>
      <c r="D46" s="90" t="s">
        <v>126</v>
      </c>
      <c r="E46" s="72"/>
      <c r="F46" s="72"/>
      <c r="G46" s="72"/>
      <c r="H46" s="73"/>
      <c r="I46" s="91">
        <v>0.73</v>
      </c>
      <c r="J46" s="92">
        <f>I46*B46</f>
        <v>10.95</v>
      </c>
      <c r="K46" s="87" t="s">
        <v>67</v>
      </c>
      <c r="L46" s="7"/>
      <c r="M46" s="77"/>
      <c r="N46" s="6"/>
      <c r="O46" s="6"/>
      <c r="P46" s="7"/>
      <c r="Y46" s="13" t="s">
        <v>127</v>
      </c>
    </row>
    <row r="47" ht="12.0" customHeight="1">
      <c r="B47" s="78"/>
      <c r="C47" s="79"/>
      <c r="D47" s="80"/>
      <c r="E47" s="65"/>
      <c r="F47" s="65"/>
      <c r="G47" s="65"/>
      <c r="H47" s="81"/>
      <c r="I47" s="79"/>
      <c r="J47" s="65"/>
      <c r="K47" s="46"/>
      <c r="L47" s="63"/>
      <c r="M47" s="46"/>
      <c r="N47" s="15"/>
      <c r="O47" s="15"/>
      <c r="P47" s="63"/>
      <c r="Y47" s="13" t="s">
        <v>128</v>
      </c>
    </row>
    <row r="48" ht="12.0" customHeight="1">
      <c r="A48" s="68">
        <v>17.0</v>
      </c>
      <c r="B48" s="95">
        <v>10.0</v>
      </c>
      <c r="C48" s="96" t="s">
        <v>129</v>
      </c>
      <c r="D48" s="90" t="s">
        <v>130</v>
      </c>
      <c r="E48" s="72"/>
      <c r="F48" s="72"/>
      <c r="G48" s="72"/>
      <c r="H48" s="73"/>
      <c r="I48" s="91">
        <v>0.1</v>
      </c>
      <c r="J48" s="92">
        <f>I48*B48</f>
        <v>1</v>
      </c>
      <c r="K48" s="87" t="s">
        <v>67</v>
      </c>
      <c r="L48" s="7"/>
      <c r="M48" s="77"/>
      <c r="N48" s="6"/>
      <c r="O48" s="6"/>
      <c r="P48" s="7"/>
      <c r="Y48" s="13" t="s">
        <v>131</v>
      </c>
    </row>
    <row r="49" ht="12.0" customHeight="1">
      <c r="B49" s="78"/>
      <c r="C49" s="79"/>
      <c r="D49" s="80"/>
      <c r="E49" s="65"/>
      <c r="F49" s="65"/>
      <c r="G49" s="65"/>
      <c r="H49" s="81"/>
      <c r="I49" s="79"/>
      <c r="J49" s="65"/>
      <c r="K49" s="46"/>
      <c r="L49" s="63"/>
      <c r="M49" s="46"/>
      <c r="N49" s="15"/>
      <c r="O49" s="15"/>
      <c r="P49" s="63"/>
      <c r="Y49" s="13" t="s">
        <v>132</v>
      </c>
    </row>
    <row r="50" ht="12.0" customHeight="1">
      <c r="A50" s="68">
        <v>18.0</v>
      </c>
      <c r="B50" s="95">
        <v>5.0</v>
      </c>
      <c r="C50" s="96" t="s">
        <v>133</v>
      </c>
      <c r="D50" s="90" t="s">
        <v>134</v>
      </c>
      <c r="E50" s="72"/>
      <c r="F50" s="72"/>
      <c r="G50" s="72"/>
      <c r="H50" s="73"/>
      <c r="I50" s="91">
        <v>0.1</v>
      </c>
      <c r="J50" s="92">
        <f>I50*B50</f>
        <v>0.5</v>
      </c>
      <c r="K50" s="87" t="s">
        <v>67</v>
      </c>
      <c r="L50" s="7"/>
      <c r="M50" s="77"/>
      <c r="N50" s="6"/>
      <c r="O50" s="6"/>
      <c r="P50" s="7"/>
      <c r="Y50" s="13" t="s">
        <v>135</v>
      </c>
    </row>
    <row r="51" ht="12.0" customHeight="1">
      <c r="B51" s="78"/>
      <c r="C51" s="79"/>
      <c r="D51" s="80"/>
      <c r="E51" s="65"/>
      <c r="F51" s="65"/>
      <c r="G51" s="65"/>
      <c r="H51" s="81"/>
      <c r="I51" s="79"/>
      <c r="J51" s="65"/>
      <c r="K51" s="46"/>
      <c r="L51" s="63"/>
      <c r="M51" s="46"/>
      <c r="N51" s="15"/>
      <c r="O51" s="15"/>
      <c r="P51" s="63"/>
      <c r="Y51" s="13" t="s">
        <v>136</v>
      </c>
    </row>
    <row r="52" ht="12.0" customHeight="1">
      <c r="A52" s="68">
        <v>19.0</v>
      </c>
      <c r="B52" s="95">
        <v>20.0</v>
      </c>
      <c r="C52" s="96" t="s">
        <v>137</v>
      </c>
      <c r="D52" s="90" t="s">
        <v>138</v>
      </c>
      <c r="E52" s="72"/>
      <c r="F52" s="72"/>
      <c r="G52" s="72"/>
      <c r="H52" s="73"/>
      <c r="I52" s="91">
        <v>0.21</v>
      </c>
      <c r="J52" s="92">
        <f>I52*B52</f>
        <v>4.2</v>
      </c>
      <c r="K52" s="87" t="s">
        <v>67</v>
      </c>
      <c r="L52" s="7"/>
      <c r="M52" s="77"/>
      <c r="N52" s="6"/>
      <c r="O52" s="6"/>
      <c r="P52" s="7"/>
      <c r="Y52" s="13" t="s">
        <v>139</v>
      </c>
    </row>
    <row r="53" ht="12.0" customHeight="1">
      <c r="B53" s="78"/>
      <c r="C53" s="79"/>
      <c r="D53" s="80"/>
      <c r="E53" s="65"/>
      <c r="F53" s="65"/>
      <c r="G53" s="65"/>
      <c r="H53" s="81"/>
      <c r="I53" s="79"/>
      <c r="J53" s="65"/>
      <c r="K53" s="46"/>
      <c r="L53" s="63"/>
      <c r="M53" s="46"/>
      <c r="N53" s="15"/>
      <c r="O53" s="15"/>
      <c r="P53" s="63"/>
      <c r="Y53" s="13" t="s">
        <v>140</v>
      </c>
    </row>
    <row r="54" ht="12.0" customHeight="1">
      <c r="A54" s="68">
        <v>20.0</v>
      </c>
      <c r="B54" s="95">
        <v>5.0</v>
      </c>
      <c r="C54" s="96" t="s">
        <v>141</v>
      </c>
      <c r="D54" s="90" t="s">
        <v>142</v>
      </c>
      <c r="E54" s="72"/>
      <c r="F54" s="72"/>
      <c r="G54" s="72"/>
      <c r="H54" s="73"/>
      <c r="I54" s="91">
        <v>2.04</v>
      </c>
      <c r="J54" s="92">
        <f>I54*B54</f>
        <v>10.2</v>
      </c>
      <c r="K54" s="87" t="s">
        <v>67</v>
      </c>
      <c r="L54" s="7"/>
      <c r="M54" s="77"/>
      <c r="N54" s="6"/>
      <c r="O54" s="6"/>
      <c r="P54" s="7"/>
      <c r="Y54" s="13" t="s">
        <v>143</v>
      </c>
    </row>
    <row r="55" ht="12.0" customHeight="1">
      <c r="B55" s="78"/>
      <c r="C55" s="79"/>
      <c r="D55" s="80"/>
      <c r="E55" s="65"/>
      <c r="F55" s="65"/>
      <c r="G55" s="65"/>
      <c r="H55" s="81"/>
      <c r="I55" s="79"/>
      <c r="J55" s="65"/>
      <c r="K55" s="46"/>
      <c r="L55" s="63"/>
      <c r="M55" s="46"/>
      <c r="N55" s="15"/>
      <c r="O55" s="15"/>
      <c r="P55" s="63"/>
      <c r="Y55" s="13" t="s">
        <v>144</v>
      </c>
    </row>
    <row r="56" ht="12.0" customHeight="1">
      <c r="A56" s="68">
        <v>21.0</v>
      </c>
      <c r="B56" s="95">
        <v>5.0</v>
      </c>
      <c r="C56" s="96" t="s">
        <v>145</v>
      </c>
      <c r="D56" s="90" t="s">
        <v>146</v>
      </c>
      <c r="E56" s="72"/>
      <c r="F56" s="72"/>
      <c r="G56" s="72"/>
      <c r="H56" s="73"/>
      <c r="I56" s="91">
        <v>0.1</v>
      </c>
      <c r="J56" s="92">
        <f>I56*B56</f>
        <v>0.5</v>
      </c>
      <c r="K56" s="87" t="s">
        <v>67</v>
      </c>
      <c r="L56" s="7"/>
      <c r="M56" s="77"/>
      <c r="N56" s="6"/>
      <c r="O56" s="6"/>
      <c r="P56" s="7"/>
      <c r="Y56" s="13" t="s">
        <v>147</v>
      </c>
    </row>
    <row r="57" ht="12.0" customHeight="1">
      <c r="B57" s="78"/>
      <c r="C57" s="79"/>
      <c r="D57" s="80"/>
      <c r="E57" s="65"/>
      <c r="F57" s="65"/>
      <c r="G57" s="65"/>
      <c r="H57" s="81"/>
      <c r="I57" s="79"/>
      <c r="J57" s="65"/>
      <c r="K57" s="46"/>
      <c r="L57" s="63"/>
      <c r="M57" s="46"/>
      <c r="N57" s="15"/>
      <c r="O57" s="15"/>
      <c r="P57" s="63"/>
      <c r="Y57" s="13" t="s">
        <v>148</v>
      </c>
    </row>
    <row r="58" ht="12.0" customHeight="1">
      <c r="A58" s="68">
        <v>22.0</v>
      </c>
      <c r="B58" s="95">
        <v>10.0</v>
      </c>
      <c r="C58" s="96" t="s">
        <v>149</v>
      </c>
      <c r="D58" s="90" t="s">
        <v>150</v>
      </c>
      <c r="E58" s="72"/>
      <c r="F58" s="72"/>
      <c r="G58" s="72"/>
      <c r="H58" s="73"/>
      <c r="I58" s="91">
        <v>0.1</v>
      </c>
      <c r="J58" s="92">
        <f>I58*B58</f>
        <v>1</v>
      </c>
      <c r="K58" s="87" t="s">
        <v>67</v>
      </c>
      <c r="L58" s="7"/>
      <c r="M58" s="77"/>
      <c r="N58" s="6"/>
      <c r="O58" s="6"/>
      <c r="P58" s="7"/>
      <c r="Y58" s="13" t="s">
        <v>151</v>
      </c>
    </row>
    <row r="59" ht="12.0" customHeight="1">
      <c r="B59" s="78"/>
      <c r="C59" s="79"/>
      <c r="D59" s="80"/>
      <c r="E59" s="65"/>
      <c r="F59" s="65"/>
      <c r="G59" s="65"/>
      <c r="H59" s="81"/>
      <c r="I59" s="79"/>
      <c r="J59" s="65"/>
      <c r="K59" s="46"/>
      <c r="L59" s="63"/>
      <c r="M59" s="46"/>
      <c r="N59" s="15"/>
      <c r="O59" s="15"/>
      <c r="P59" s="63"/>
      <c r="Y59" s="13" t="s">
        <v>152</v>
      </c>
    </row>
    <row r="60" ht="12.0" customHeight="1">
      <c r="A60" s="68">
        <v>23.0</v>
      </c>
      <c r="B60" s="95">
        <v>5.0</v>
      </c>
      <c r="C60" s="96" t="s">
        <v>153</v>
      </c>
      <c r="D60" s="90" t="s">
        <v>154</v>
      </c>
      <c r="E60" s="72"/>
      <c r="F60" s="72"/>
      <c r="G60" s="72"/>
      <c r="H60" s="73"/>
      <c r="I60" s="91">
        <v>1.56</v>
      </c>
      <c r="J60" s="92">
        <f>I60*B60</f>
        <v>7.8</v>
      </c>
      <c r="K60" s="87" t="s">
        <v>67</v>
      </c>
      <c r="L60" s="7"/>
      <c r="M60" s="77"/>
      <c r="N60" s="6"/>
      <c r="O60" s="6"/>
      <c r="P60" s="7"/>
      <c r="Y60" s="13" t="s">
        <v>155</v>
      </c>
    </row>
    <row r="61" ht="12.0" customHeight="1">
      <c r="B61" s="78"/>
      <c r="C61" s="79"/>
      <c r="D61" s="80"/>
      <c r="E61" s="65"/>
      <c r="F61" s="65"/>
      <c r="G61" s="65"/>
      <c r="H61" s="81"/>
      <c r="I61" s="79"/>
      <c r="J61" s="65"/>
      <c r="K61" s="46"/>
      <c r="L61" s="63"/>
      <c r="M61" s="46"/>
      <c r="N61" s="15"/>
      <c r="O61" s="15"/>
      <c r="P61" s="63"/>
      <c r="Y61" s="13" t="s">
        <v>156</v>
      </c>
    </row>
    <row r="62" ht="12.0" customHeight="1">
      <c r="A62" s="68">
        <v>24.0</v>
      </c>
      <c r="B62" s="95">
        <v>5.0</v>
      </c>
      <c r="C62" s="96" t="s">
        <v>157</v>
      </c>
      <c r="D62" s="90" t="s">
        <v>158</v>
      </c>
      <c r="E62" s="72"/>
      <c r="F62" s="72"/>
      <c r="G62" s="72"/>
      <c r="H62" s="73"/>
      <c r="I62" s="91">
        <v>2.95</v>
      </c>
      <c r="J62" s="92">
        <f>I62*B62</f>
        <v>14.75</v>
      </c>
      <c r="K62" s="87" t="s">
        <v>67</v>
      </c>
      <c r="L62" s="7"/>
      <c r="M62" s="77"/>
      <c r="N62" s="6"/>
      <c r="O62" s="6"/>
      <c r="P62" s="7"/>
      <c r="Y62" s="13" t="s">
        <v>159</v>
      </c>
    </row>
    <row r="63" ht="12.0" customHeight="1">
      <c r="B63" s="78"/>
      <c r="C63" s="79"/>
      <c r="D63" s="80"/>
      <c r="E63" s="65"/>
      <c r="F63" s="65"/>
      <c r="G63" s="65"/>
      <c r="H63" s="81"/>
      <c r="I63" s="79"/>
      <c r="J63" s="65"/>
      <c r="K63" s="46"/>
      <c r="L63" s="63"/>
      <c r="M63" s="46"/>
      <c r="N63" s="15"/>
      <c r="O63" s="15"/>
      <c r="P63" s="63"/>
      <c r="Y63" s="13" t="s">
        <v>160</v>
      </c>
    </row>
    <row r="64" ht="12.0" customHeight="1">
      <c r="A64" s="68">
        <v>25.0</v>
      </c>
      <c r="B64" s="95">
        <v>5.0</v>
      </c>
      <c r="C64" s="96" t="s">
        <v>161</v>
      </c>
      <c r="D64" s="90" t="s">
        <v>162</v>
      </c>
      <c r="E64" s="72"/>
      <c r="F64" s="72"/>
      <c r="G64" s="72"/>
      <c r="H64" s="73"/>
      <c r="I64" s="91">
        <v>0.94</v>
      </c>
      <c r="J64" s="92">
        <f>I64*B64</f>
        <v>4.7</v>
      </c>
      <c r="K64" s="87" t="s">
        <v>67</v>
      </c>
      <c r="L64" s="7"/>
      <c r="M64" s="77"/>
      <c r="N64" s="6"/>
      <c r="O64" s="6"/>
      <c r="P64" s="7"/>
      <c r="Y64" s="13" t="s">
        <v>163</v>
      </c>
    </row>
    <row r="65" ht="12.0" customHeight="1">
      <c r="B65" s="78"/>
      <c r="C65" s="79"/>
      <c r="D65" s="80"/>
      <c r="E65" s="65"/>
      <c r="F65" s="65"/>
      <c r="G65" s="65"/>
      <c r="H65" s="81"/>
      <c r="I65" s="79"/>
      <c r="J65" s="65"/>
      <c r="K65" s="46"/>
      <c r="L65" s="63"/>
      <c r="M65" s="46"/>
      <c r="N65" s="15"/>
      <c r="O65" s="15"/>
      <c r="P65" s="63"/>
      <c r="Y65" s="13" t="s">
        <v>164</v>
      </c>
    </row>
    <row r="66" ht="12.0" customHeight="1">
      <c r="A66" s="68">
        <v>26.0</v>
      </c>
      <c r="B66" s="95">
        <v>10.0</v>
      </c>
      <c r="C66" s="96" t="s">
        <v>165</v>
      </c>
      <c r="D66" s="90" t="s">
        <v>166</v>
      </c>
      <c r="E66" s="72"/>
      <c r="F66" s="72"/>
      <c r="G66" s="72"/>
      <c r="H66" s="73"/>
      <c r="I66" s="91">
        <v>2.37</v>
      </c>
      <c r="J66" s="92">
        <f>I66*B66</f>
        <v>23.7</v>
      </c>
      <c r="K66" s="87" t="s">
        <v>67</v>
      </c>
      <c r="L66" s="7"/>
      <c r="M66" s="77"/>
      <c r="N66" s="6"/>
      <c r="O66" s="6"/>
      <c r="P66" s="7"/>
      <c r="Y66" s="13" t="s">
        <v>167</v>
      </c>
    </row>
    <row r="67" ht="12.0" customHeight="1">
      <c r="B67" s="78"/>
      <c r="C67" s="79"/>
      <c r="D67" s="80"/>
      <c r="E67" s="65"/>
      <c r="F67" s="65"/>
      <c r="G67" s="65"/>
      <c r="H67" s="81"/>
      <c r="I67" s="79"/>
      <c r="J67" s="65"/>
      <c r="K67" s="46"/>
      <c r="L67" s="63"/>
      <c r="M67" s="46"/>
      <c r="N67" s="15"/>
      <c r="O67" s="15"/>
      <c r="P67" s="63"/>
      <c r="Y67" s="13" t="s">
        <v>168</v>
      </c>
    </row>
    <row r="68" ht="12.0" customHeight="1">
      <c r="A68" s="68">
        <v>27.0</v>
      </c>
      <c r="B68" s="95">
        <v>20.0</v>
      </c>
      <c r="C68" s="96" t="s">
        <v>169</v>
      </c>
      <c r="D68" s="90" t="s">
        <v>170</v>
      </c>
      <c r="E68" s="72"/>
      <c r="F68" s="72"/>
      <c r="G68" s="72"/>
      <c r="H68" s="73"/>
      <c r="I68" s="91">
        <v>0.11</v>
      </c>
      <c r="J68" s="92">
        <f>I68*B68</f>
        <v>2.2</v>
      </c>
      <c r="K68" s="87" t="s">
        <v>67</v>
      </c>
      <c r="L68" s="7"/>
      <c r="M68" s="77"/>
      <c r="N68" s="6"/>
      <c r="O68" s="6"/>
      <c r="P68" s="7"/>
      <c r="Y68" s="13" t="s">
        <v>171</v>
      </c>
    </row>
    <row r="69" ht="12.0" customHeight="1">
      <c r="B69" s="78"/>
      <c r="C69" s="79"/>
      <c r="D69" s="80"/>
      <c r="E69" s="65"/>
      <c r="F69" s="65"/>
      <c r="G69" s="65"/>
      <c r="H69" s="81"/>
      <c r="I69" s="79"/>
      <c r="J69" s="65"/>
      <c r="K69" s="46"/>
      <c r="L69" s="63"/>
      <c r="M69" s="46"/>
      <c r="N69" s="15"/>
      <c r="O69" s="15"/>
      <c r="P69" s="63"/>
      <c r="Y69" s="13" t="s">
        <v>172</v>
      </c>
    </row>
    <row r="70" ht="12.0" customHeight="1">
      <c r="A70" s="68">
        <v>28.0</v>
      </c>
      <c r="B70" s="95">
        <v>10.0</v>
      </c>
      <c r="C70" s="96" t="s">
        <v>173</v>
      </c>
      <c r="D70" s="90" t="s">
        <v>174</v>
      </c>
      <c r="E70" s="72"/>
      <c r="F70" s="72"/>
      <c r="G70" s="72"/>
      <c r="H70" s="73"/>
      <c r="I70" s="91">
        <v>0.1</v>
      </c>
      <c r="J70" s="92">
        <f>I70*B70</f>
        <v>1</v>
      </c>
      <c r="K70" s="87" t="s">
        <v>67</v>
      </c>
      <c r="L70" s="7"/>
      <c r="M70" s="77"/>
      <c r="N70" s="6"/>
      <c r="O70" s="6"/>
      <c r="P70" s="7"/>
      <c r="Y70" s="13" t="s">
        <v>175</v>
      </c>
    </row>
    <row r="71" ht="12.0" customHeight="1">
      <c r="B71" s="78"/>
      <c r="C71" s="79"/>
      <c r="D71" s="80"/>
      <c r="E71" s="65"/>
      <c r="F71" s="65"/>
      <c r="G71" s="65"/>
      <c r="H71" s="81"/>
      <c r="I71" s="79"/>
      <c r="J71" s="65"/>
      <c r="K71" s="46"/>
      <c r="L71" s="63"/>
      <c r="M71" s="46"/>
      <c r="N71" s="15"/>
      <c r="O71" s="15"/>
      <c r="P71" s="63"/>
      <c r="Y71" s="13" t="s">
        <v>176</v>
      </c>
    </row>
    <row r="72" ht="12.0" customHeight="1">
      <c r="A72" s="68">
        <v>29.0</v>
      </c>
      <c r="B72" s="95">
        <v>20.0</v>
      </c>
      <c r="C72" s="96" t="s">
        <v>177</v>
      </c>
      <c r="D72" s="90" t="s">
        <v>178</v>
      </c>
      <c r="E72" s="72"/>
      <c r="F72" s="72"/>
      <c r="G72" s="72"/>
      <c r="H72" s="73"/>
      <c r="I72" s="91">
        <v>0.62</v>
      </c>
      <c r="J72" s="92">
        <f>I72*B72</f>
        <v>12.4</v>
      </c>
      <c r="K72" s="87" t="s">
        <v>67</v>
      </c>
      <c r="L72" s="7"/>
      <c r="M72" s="77"/>
      <c r="N72" s="6"/>
      <c r="O72" s="6"/>
      <c r="P72" s="7"/>
      <c r="Y72" s="13" t="s">
        <v>179</v>
      </c>
    </row>
    <row r="73" ht="12.0" customHeight="1">
      <c r="B73" s="78"/>
      <c r="C73" s="79"/>
      <c r="D73" s="80"/>
      <c r="E73" s="65"/>
      <c r="F73" s="65"/>
      <c r="G73" s="65"/>
      <c r="H73" s="81"/>
      <c r="I73" s="79"/>
      <c r="J73" s="65"/>
      <c r="K73" s="46"/>
      <c r="L73" s="63"/>
      <c r="M73" s="46"/>
      <c r="N73" s="15"/>
      <c r="O73" s="15"/>
      <c r="P73" s="63"/>
      <c r="Y73" s="13" t="s">
        <v>180</v>
      </c>
    </row>
    <row r="74" ht="12.0" customHeight="1">
      <c r="A74" s="68">
        <v>30.0</v>
      </c>
      <c r="B74" s="95">
        <v>10.0</v>
      </c>
      <c r="C74" s="96" t="s">
        <v>181</v>
      </c>
      <c r="D74" s="90" t="s">
        <v>182</v>
      </c>
      <c r="E74" s="72"/>
      <c r="F74" s="72"/>
      <c r="G74" s="72"/>
      <c r="H74" s="73"/>
      <c r="I74" s="91">
        <v>0.22</v>
      </c>
      <c r="J74" s="92">
        <f>I74*B74</f>
        <v>2.2</v>
      </c>
      <c r="K74" s="87" t="s">
        <v>67</v>
      </c>
      <c r="L74" s="7"/>
      <c r="M74" s="77"/>
      <c r="N74" s="6"/>
      <c r="O74" s="6"/>
      <c r="P74" s="7"/>
      <c r="Y74" s="13" t="s">
        <v>183</v>
      </c>
    </row>
    <row r="75" ht="12.0" customHeight="1">
      <c r="B75" s="78"/>
      <c r="C75" s="79"/>
      <c r="D75" s="80"/>
      <c r="E75" s="65"/>
      <c r="F75" s="65"/>
      <c r="G75" s="65"/>
      <c r="H75" s="81"/>
      <c r="I75" s="79"/>
      <c r="J75" s="65"/>
      <c r="K75" s="46"/>
      <c r="L75" s="63"/>
      <c r="M75" s="46"/>
      <c r="N75" s="15"/>
      <c r="O75" s="15"/>
      <c r="P75" s="63"/>
      <c r="Y75" s="13" t="s">
        <v>184</v>
      </c>
    </row>
    <row r="76" ht="12.0" customHeight="1">
      <c r="A76" s="68">
        <v>31.0</v>
      </c>
      <c r="B76" s="95">
        <v>10.0</v>
      </c>
      <c r="C76" s="96" t="s">
        <v>185</v>
      </c>
      <c r="D76" s="90" t="s">
        <v>186</v>
      </c>
      <c r="E76" s="72"/>
      <c r="F76" s="72"/>
      <c r="G76" s="72"/>
      <c r="H76" s="73"/>
      <c r="I76" s="91">
        <v>0.1</v>
      </c>
      <c r="J76" s="92">
        <f>I76*B76</f>
        <v>1</v>
      </c>
      <c r="K76" s="87" t="s">
        <v>67</v>
      </c>
      <c r="L76" s="7"/>
      <c r="M76" s="77"/>
      <c r="N76" s="6"/>
      <c r="O76" s="6"/>
      <c r="P76" s="7"/>
      <c r="Y76" s="13" t="s">
        <v>187</v>
      </c>
    </row>
    <row r="77" ht="12.0" customHeight="1">
      <c r="B77" s="78"/>
      <c r="C77" s="79"/>
      <c r="D77" s="80"/>
      <c r="E77" s="65"/>
      <c r="F77" s="65"/>
      <c r="G77" s="65"/>
      <c r="H77" s="81"/>
      <c r="I77" s="79"/>
      <c r="J77" s="65"/>
      <c r="K77" s="46"/>
      <c r="L77" s="63"/>
      <c r="M77" s="46"/>
      <c r="N77" s="15"/>
      <c r="O77" s="15"/>
      <c r="P77" s="63"/>
      <c r="Y77" s="13" t="s">
        <v>188</v>
      </c>
    </row>
    <row r="78" ht="12.0" customHeight="1">
      <c r="A78" s="68">
        <v>32.0</v>
      </c>
      <c r="B78" s="95">
        <v>10.0</v>
      </c>
      <c r="C78" s="96" t="s">
        <v>189</v>
      </c>
      <c r="D78" s="90" t="s">
        <v>190</v>
      </c>
      <c r="E78" s="72"/>
      <c r="F78" s="72"/>
      <c r="G78" s="72"/>
      <c r="H78" s="73"/>
      <c r="I78" s="91">
        <v>0.1</v>
      </c>
      <c r="J78" s="92">
        <f>I78*B78</f>
        <v>1</v>
      </c>
      <c r="K78" s="87" t="s">
        <v>67</v>
      </c>
      <c r="L78" s="7"/>
      <c r="M78" s="77"/>
      <c r="N78" s="6"/>
      <c r="O78" s="6"/>
      <c r="P78" s="7"/>
      <c r="Y78" s="13" t="s">
        <v>191</v>
      </c>
    </row>
    <row r="79" ht="12.0" customHeight="1">
      <c r="B79" s="78"/>
      <c r="C79" s="79"/>
      <c r="D79" s="80"/>
      <c r="E79" s="65"/>
      <c r="F79" s="65"/>
      <c r="G79" s="65"/>
      <c r="H79" s="81"/>
      <c r="I79" s="79"/>
      <c r="J79" s="65"/>
      <c r="K79" s="46"/>
      <c r="L79" s="63"/>
      <c r="M79" s="46"/>
      <c r="N79" s="15"/>
      <c r="O79" s="15"/>
      <c r="P79" s="63"/>
      <c r="Y79" s="13" t="s">
        <v>192</v>
      </c>
    </row>
    <row r="80" ht="12.0" customHeight="1">
      <c r="A80" s="68">
        <v>33.0</v>
      </c>
      <c r="B80" s="95">
        <v>20.0</v>
      </c>
      <c r="C80" s="96" t="s">
        <v>193</v>
      </c>
      <c r="D80" s="90" t="s">
        <v>194</v>
      </c>
      <c r="E80" s="72"/>
      <c r="F80" s="72"/>
      <c r="G80" s="72"/>
      <c r="H80" s="73"/>
      <c r="I80" s="91">
        <v>0.1</v>
      </c>
      <c r="J80" s="92">
        <f>I80*B80</f>
        <v>2</v>
      </c>
      <c r="K80" s="87" t="s">
        <v>67</v>
      </c>
      <c r="L80" s="7"/>
      <c r="M80" s="77"/>
      <c r="N80" s="6"/>
      <c r="O80" s="6"/>
      <c r="P80" s="7"/>
      <c r="Y80" s="13" t="s">
        <v>195</v>
      </c>
    </row>
    <row r="81" ht="12.0" customHeight="1">
      <c r="B81" s="78"/>
      <c r="C81" s="79"/>
      <c r="D81" s="80"/>
      <c r="E81" s="65"/>
      <c r="F81" s="65"/>
      <c r="G81" s="65"/>
      <c r="H81" s="81"/>
      <c r="I81" s="79"/>
      <c r="J81" s="65"/>
      <c r="K81" s="46"/>
      <c r="L81" s="63"/>
      <c r="M81" s="46"/>
      <c r="N81" s="15"/>
      <c r="O81" s="15"/>
      <c r="P81" s="63"/>
      <c r="Y81" s="13" t="s">
        <v>196</v>
      </c>
    </row>
    <row r="82" ht="12.0" customHeight="1">
      <c r="A82" s="68">
        <v>34.0</v>
      </c>
      <c r="B82" s="95">
        <v>5.0</v>
      </c>
      <c r="C82" s="96" t="s">
        <v>197</v>
      </c>
      <c r="D82" s="90" t="s">
        <v>154</v>
      </c>
      <c r="E82" s="72"/>
      <c r="F82" s="72"/>
      <c r="G82" s="72"/>
      <c r="H82" s="73"/>
      <c r="I82" s="91">
        <v>1.59</v>
      </c>
      <c r="J82" s="92">
        <f>I82*B82</f>
        <v>7.95</v>
      </c>
      <c r="K82" s="87" t="s">
        <v>67</v>
      </c>
      <c r="L82" s="7"/>
      <c r="M82" s="77"/>
      <c r="N82" s="6"/>
      <c r="O82" s="6"/>
      <c r="P82" s="7"/>
      <c r="Y82" s="13" t="s">
        <v>198</v>
      </c>
    </row>
    <row r="83" ht="12.0" customHeight="1">
      <c r="B83" s="78"/>
      <c r="C83" s="79"/>
      <c r="D83" s="80"/>
      <c r="E83" s="65"/>
      <c r="F83" s="65"/>
      <c r="G83" s="65"/>
      <c r="H83" s="81"/>
      <c r="I83" s="79"/>
      <c r="J83" s="65"/>
      <c r="K83" s="46"/>
      <c r="L83" s="63"/>
      <c r="M83" s="46"/>
      <c r="N83" s="15"/>
      <c r="O83" s="15"/>
      <c r="P83" s="63"/>
      <c r="Y83" s="13" t="s">
        <v>199</v>
      </c>
    </row>
    <row r="84" ht="12.0" customHeight="1">
      <c r="A84" s="68">
        <v>35.0</v>
      </c>
      <c r="B84" s="95">
        <v>5.0</v>
      </c>
      <c r="C84" s="96" t="s">
        <v>200</v>
      </c>
      <c r="D84" s="90" t="s">
        <v>201</v>
      </c>
      <c r="E84" s="72"/>
      <c r="F84" s="72"/>
      <c r="G84" s="72"/>
      <c r="H84" s="73"/>
      <c r="I84" s="91">
        <v>1.83</v>
      </c>
      <c r="J84" s="92">
        <f>I84*B84</f>
        <v>9.15</v>
      </c>
      <c r="K84" s="87" t="s">
        <v>67</v>
      </c>
      <c r="L84" s="7"/>
      <c r="M84" s="77"/>
      <c r="N84" s="6"/>
      <c r="O84" s="6"/>
      <c r="P84" s="7"/>
      <c r="Y84" s="13" t="s">
        <v>202</v>
      </c>
    </row>
    <row r="85" ht="12.0" customHeight="1">
      <c r="B85" s="78"/>
      <c r="C85" s="79"/>
      <c r="D85" s="80"/>
      <c r="E85" s="65"/>
      <c r="F85" s="65"/>
      <c r="G85" s="65"/>
      <c r="H85" s="81"/>
      <c r="I85" s="79"/>
      <c r="J85" s="65"/>
      <c r="K85" s="46"/>
      <c r="L85" s="63"/>
      <c r="M85" s="46"/>
      <c r="N85" s="15"/>
      <c r="O85" s="15"/>
      <c r="P85" s="63"/>
      <c r="Y85" s="13" t="s">
        <v>203</v>
      </c>
    </row>
    <row r="86" ht="12.0" customHeight="1">
      <c r="A86" s="68">
        <v>36.0</v>
      </c>
      <c r="B86" s="95">
        <v>2.0</v>
      </c>
      <c r="C86" s="96" t="s">
        <v>204</v>
      </c>
      <c r="D86" s="90" t="s">
        <v>205</v>
      </c>
      <c r="E86" s="72"/>
      <c r="F86" s="72"/>
      <c r="G86" s="72"/>
      <c r="H86" s="73"/>
      <c r="I86" s="97">
        <v>5.95</v>
      </c>
      <c r="J86" s="92">
        <f>I86*B86</f>
        <v>11.9</v>
      </c>
      <c r="K86" s="87" t="s">
        <v>67</v>
      </c>
      <c r="L86" s="7"/>
      <c r="M86" s="77"/>
      <c r="N86" s="6"/>
      <c r="O86" s="6"/>
      <c r="P86" s="7"/>
      <c r="Y86" s="13" t="s">
        <v>206</v>
      </c>
    </row>
    <row r="87" ht="12.0" customHeight="1">
      <c r="B87" s="78"/>
      <c r="C87" s="79"/>
      <c r="D87" s="80"/>
      <c r="E87" s="65"/>
      <c r="F87" s="65"/>
      <c r="G87" s="65"/>
      <c r="H87" s="81"/>
      <c r="I87" s="79"/>
      <c r="J87" s="65"/>
      <c r="K87" s="46"/>
      <c r="L87" s="63"/>
      <c r="M87" s="46"/>
      <c r="N87" s="15"/>
      <c r="O87" s="15"/>
      <c r="P87" s="63"/>
      <c r="Y87" s="13" t="s">
        <v>207</v>
      </c>
    </row>
    <row r="88" ht="12.0" customHeight="1">
      <c r="A88" s="68">
        <v>37.0</v>
      </c>
      <c r="B88" s="98"/>
      <c r="C88" s="99"/>
      <c r="D88" s="100" t="s">
        <v>208</v>
      </c>
      <c r="E88" s="72"/>
      <c r="F88" s="72"/>
      <c r="G88" s="72"/>
      <c r="H88" s="73"/>
      <c r="I88" s="101"/>
      <c r="J88" s="92">
        <f>I88*B88</f>
        <v>0</v>
      </c>
      <c r="K88" s="102"/>
      <c r="L88" s="7"/>
      <c r="M88" s="77"/>
      <c r="N88" s="6"/>
      <c r="O88" s="6"/>
      <c r="P88" s="7"/>
      <c r="Y88" s="13" t="s">
        <v>209</v>
      </c>
    </row>
    <row r="89" ht="12.0" customHeight="1">
      <c r="B89" s="78"/>
      <c r="C89" s="79"/>
      <c r="D89" s="80"/>
      <c r="E89" s="65"/>
      <c r="F89" s="65"/>
      <c r="G89" s="65"/>
      <c r="H89" s="81"/>
      <c r="I89" s="79"/>
      <c r="J89" s="65"/>
      <c r="K89" s="46"/>
      <c r="L89" s="63"/>
      <c r="M89" s="46"/>
      <c r="N89" s="15"/>
      <c r="O89" s="15"/>
      <c r="P89" s="63"/>
      <c r="Y89" s="13" t="s">
        <v>210</v>
      </c>
    </row>
    <row r="90" ht="12.0" customHeight="1">
      <c r="A90" s="68">
        <v>38.0</v>
      </c>
      <c r="B90" s="98"/>
      <c r="C90" s="99"/>
      <c r="D90" s="100" t="s">
        <v>208</v>
      </c>
      <c r="E90" s="72"/>
      <c r="F90" s="72"/>
      <c r="G90" s="72"/>
      <c r="H90" s="73"/>
      <c r="I90" s="101"/>
      <c r="J90" s="92">
        <f>I90*B90</f>
        <v>0</v>
      </c>
      <c r="K90" s="102"/>
      <c r="L90" s="7"/>
      <c r="M90" s="77"/>
      <c r="N90" s="6"/>
      <c r="O90" s="6"/>
      <c r="P90" s="7"/>
      <c r="Y90" s="13" t="s">
        <v>211</v>
      </c>
    </row>
    <row r="91" ht="12.0" customHeight="1">
      <c r="B91" s="78"/>
      <c r="C91" s="79"/>
      <c r="D91" s="80"/>
      <c r="E91" s="65"/>
      <c r="F91" s="65"/>
      <c r="G91" s="65"/>
      <c r="H91" s="81"/>
      <c r="I91" s="79"/>
      <c r="J91" s="65"/>
      <c r="K91" s="46"/>
      <c r="L91" s="63"/>
      <c r="M91" s="46"/>
      <c r="N91" s="15"/>
      <c r="O91" s="15"/>
      <c r="P91" s="63"/>
      <c r="Y91" s="13" t="s">
        <v>212</v>
      </c>
    </row>
    <row r="92" ht="12.0" customHeight="1">
      <c r="A92" s="68">
        <v>39.0</v>
      </c>
      <c r="B92" s="98"/>
      <c r="C92" s="99"/>
      <c r="D92" s="100" t="s">
        <v>208</v>
      </c>
      <c r="E92" s="72"/>
      <c r="F92" s="72"/>
      <c r="G92" s="72"/>
      <c r="H92" s="73"/>
      <c r="I92" s="101"/>
      <c r="J92" s="92">
        <f>I92*B92</f>
        <v>0</v>
      </c>
      <c r="K92" s="102"/>
      <c r="L92" s="7"/>
      <c r="M92" s="77"/>
      <c r="N92" s="6"/>
      <c r="O92" s="6"/>
      <c r="P92" s="7"/>
      <c r="Y92" s="13" t="s">
        <v>213</v>
      </c>
    </row>
    <row r="93" ht="12.0" customHeight="1">
      <c r="B93" s="78"/>
      <c r="C93" s="79"/>
      <c r="D93" s="80"/>
      <c r="E93" s="65"/>
      <c r="F93" s="65"/>
      <c r="G93" s="65"/>
      <c r="H93" s="81"/>
      <c r="I93" s="79"/>
      <c r="J93" s="65"/>
      <c r="K93" s="46"/>
      <c r="L93" s="63"/>
      <c r="M93" s="46"/>
      <c r="N93" s="15"/>
      <c r="O93" s="15"/>
      <c r="P93" s="63"/>
      <c r="Y93" s="13" t="s">
        <v>214</v>
      </c>
    </row>
    <row r="94" ht="12.0" customHeight="1">
      <c r="A94" s="68">
        <v>11.0</v>
      </c>
      <c r="B94" s="98"/>
      <c r="C94" s="99"/>
      <c r="D94" s="100" t="s">
        <v>208</v>
      </c>
      <c r="E94" s="72"/>
      <c r="F94" s="72"/>
      <c r="G94" s="72"/>
      <c r="H94" s="73"/>
      <c r="I94" s="101"/>
      <c r="J94" s="92">
        <f>I94*B94</f>
        <v>0</v>
      </c>
      <c r="K94" s="102"/>
      <c r="L94" s="7"/>
      <c r="M94" s="77"/>
      <c r="N94" s="6"/>
      <c r="O94" s="6"/>
      <c r="P94" s="7"/>
      <c r="Y94" s="13" t="s">
        <v>215</v>
      </c>
    </row>
    <row r="95" ht="12.0" customHeight="1">
      <c r="B95" s="78"/>
      <c r="C95" s="79"/>
      <c r="D95" s="80"/>
      <c r="E95" s="65"/>
      <c r="F95" s="65"/>
      <c r="G95" s="65"/>
      <c r="H95" s="81"/>
      <c r="I95" s="79"/>
      <c r="J95" s="65"/>
      <c r="K95" s="46"/>
      <c r="L95" s="63"/>
      <c r="M95" s="46"/>
      <c r="N95" s="15"/>
      <c r="O95" s="15"/>
      <c r="P95" s="63"/>
      <c r="Y95" s="13" t="s">
        <v>216</v>
      </c>
    </row>
    <row r="96" ht="12.0" customHeight="1">
      <c r="A96" s="68">
        <v>12.0</v>
      </c>
      <c r="B96" s="98"/>
      <c r="C96" s="99"/>
      <c r="D96" s="100" t="s">
        <v>208</v>
      </c>
      <c r="E96" s="72"/>
      <c r="F96" s="72"/>
      <c r="G96" s="72"/>
      <c r="H96" s="73"/>
      <c r="I96" s="101"/>
      <c r="J96" s="92">
        <f>I96*B96</f>
        <v>0</v>
      </c>
      <c r="K96" s="102"/>
      <c r="L96" s="7"/>
      <c r="M96" s="77"/>
      <c r="N96" s="6"/>
      <c r="O96" s="6"/>
      <c r="P96" s="7"/>
      <c r="Y96" s="13" t="s">
        <v>217</v>
      </c>
    </row>
    <row r="97" ht="12.0" customHeight="1">
      <c r="B97" s="78"/>
      <c r="C97" s="79"/>
      <c r="D97" s="80"/>
      <c r="E97" s="65"/>
      <c r="F97" s="65"/>
      <c r="G97" s="65"/>
      <c r="H97" s="81"/>
      <c r="I97" s="79"/>
      <c r="J97" s="65"/>
      <c r="K97" s="46"/>
      <c r="L97" s="63"/>
      <c r="M97" s="46"/>
      <c r="N97" s="15"/>
      <c r="O97" s="15"/>
      <c r="P97" s="63"/>
      <c r="Y97" s="13" t="s">
        <v>218</v>
      </c>
    </row>
    <row r="98" ht="12.0" customHeight="1">
      <c r="A98" s="68">
        <v>13.0</v>
      </c>
      <c r="B98" s="98"/>
      <c r="C98" s="99"/>
      <c r="D98" s="100" t="s">
        <v>208</v>
      </c>
      <c r="E98" s="72"/>
      <c r="F98" s="72"/>
      <c r="G98" s="72"/>
      <c r="H98" s="73"/>
      <c r="I98" s="101"/>
      <c r="J98" s="92">
        <f>I98*B98</f>
        <v>0</v>
      </c>
      <c r="K98" s="102"/>
      <c r="L98" s="7"/>
      <c r="M98" s="77"/>
      <c r="N98" s="6"/>
      <c r="O98" s="6"/>
      <c r="P98" s="7"/>
      <c r="Y98" s="13" t="s">
        <v>219</v>
      </c>
    </row>
    <row r="99" ht="12.0" customHeight="1">
      <c r="B99" s="78"/>
      <c r="C99" s="79"/>
      <c r="D99" s="80"/>
      <c r="E99" s="65"/>
      <c r="F99" s="65"/>
      <c r="G99" s="65"/>
      <c r="H99" s="81"/>
      <c r="I99" s="79"/>
      <c r="J99" s="65"/>
      <c r="K99" s="46"/>
      <c r="L99" s="63"/>
      <c r="M99" s="46"/>
      <c r="N99" s="15"/>
      <c r="O99" s="15"/>
      <c r="P99" s="63"/>
      <c r="Y99" s="13" t="s">
        <v>220</v>
      </c>
    </row>
    <row r="100" ht="12.0" customHeight="1">
      <c r="A100" s="68">
        <v>14.0</v>
      </c>
      <c r="B100" s="98"/>
      <c r="C100" s="99"/>
      <c r="D100" s="100" t="s">
        <v>208</v>
      </c>
      <c r="E100" s="72"/>
      <c r="F100" s="72"/>
      <c r="G100" s="72"/>
      <c r="H100" s="73"/>
      <c r="I100" s="101"/>
      <c r="J100" s="92">
        <f>I100*B100</f>
        <v>0</v>
      </c>
      <c r="K100" s="102"/>
      <c r="L100" s="7"/>
      <c r="M100" s="77"/>
      <c r="N100" s="6"/>
      <c r="O100" s="6"/>
      <c r="P100" s="7"/>
      <c r="Y100" s="13" t="s">
        <v>221</v>
      </c>
    </row>
    <row r="101" ht="12.0" customHeight="1">
      <c r="B101" s="78"/>
      <c r="C101" s="79"/>
      <c r="D101" s="80"/>
      <c r="E101" s="65"/>
      <c r="F101" s="65"/>
      <c r="G101" s="65"/>
      <c r="H101" s="81"/>
      <c r="I101" s="79"/>
      <c r="J101" s="65"/>
      <c r="K101" s="46"/>
      <c r="L101" s="63"/>
      <c r="M101" s="46"/>
      <c r="N101" s="15"/>
      <c r="O101" s="15"/>
      <c r="P101" s="63"/>
      <c r="Y101" s="13" t="s">
        <v>222</v>
      </c>
    </row>
    <row r="102" ht="12.0" customHeight="1">
      <c r="A102" s="68">
        <v>15.0</v>
      </c>
      <c r="B102" s="98"/>
      <c r="C102" s="99"/>
      <c r="D102" s="100" t="s">
        <v>208</v>
      </c>
      <c r="E102" s="72"/>
      <c r="F102" s="72"/>
      <c r="G102" s="72"/>
      <c r="H102" s="73"/>
      <c r="I102" s="101"/>
      <c r="J102" s="92">
        <f>I102*B102</f>
        <v>0</v>
      </c>
      <c r="K102" s="102"/>
      <c r="L102" s="7"/>
      <c r="M102" s="77"/>
      <c r="N102" s="6"/>
      <c r="O102" s="6"/>
      <c r="P102" s="7"/>
      <c r="Y102" s="13" t="s">
        <v>223</v>
      </c>
    </row>
    <row r="103" ht="12.0" customHeight="1">
      <c r="B103" s="78"/>
      <c r="C103" s="79"/>
      <c r="D103" s="80"/>
      <c r="E103" s="65"/>
      <c r="F103" s="65"/>
      <c r="G103" s="65"/>
      <c r="H103" s="81"/>
      <c r="I103" s="79"/>
      <c r="J103" s="65"/>
      <c r="K103" s="46"/>
      <c r="L103" s="63"/>
      <c r="M103" s="46"/>
      <c r="N103" s="15"/>
      <c r="O103" s="15"/>
      <c r="P103" s="63"/>
      <c r="Y103" s="13" t="s">
        <v>224</v>
      </c>
    </row>
    <row r="104" ht="12.0" customHeight="1">
      <c r="A104" s="68">
        <v>11.0</v>
      </c>
      <c r="B104" s="98"/>
      <c r="C104" s="99"/>
      <c r="D104" s="100" t="s">
        <v>208</v>
      </c>
      <c r="E104" s="72"/>
      <c r="F104" s="72"/>
      <c r="G104" s="72"/>
      <c r="H104" s="73"/>
      <c r="I104" s="101"/>
      <c r="J104" s="92">
        <f>I104*B104</f>
        <v>0</v>
      </c>
      <c r="K104" s="102"/>
      <c r="L104" s="7"/>
      <c r="M104" s="77"/>
      <c r="N104" s="6"/>
      <c r="O104" s="6"/>
      <c r="P104" s="7"/>
      <c r="Y104" s="13" t="s">
        <v>225</v>
      </c>
    </row>
    <row r="105" ht="12.0" customHeight="1">
      <c r="B105" s="78"/>
      <c r="C105" s="79"/>
      <c r="D105" s="80"/>
      <c r="E105" s="65"/>
      <c r="F105" s="65"/>
      <c r="G105" s="65"/>
      <c r="H105" s="81"/>
      <c r="I105" s="79"/>
      <c r="J105" s="65"/>
      <c r="K105" s="46"/>
      <c r="L105" s="63"/>
      <c r="M105" s="46"/>
      <c r="N105" s="15"/>
      <c r="O105" s="15"/>
      <c r="P105" s="63"/>
      <c r="Y105" s="13" t="s">
        <v>226</v>
      </c>
    </row>
    <row r="106" ht="12.0" customHeight="1">
      <c r="A106" s="68">
        <v>12.0</v>
      </c>
      <c r="B106" s="98"/>
      <c r="C106" s="99"/>
      <c r="D106" s="100" t="s">
        <v>208</v>
      </c>
      <c r="E106" s="72"/>
      <c r="F106" s="72"/>
      <c r="G106" s="72"/>
      <c r="H106" s="73"/>
      <c r="I106" s="101"/>
      <c r="J106" s="92">
        <f>I106*B106</f>
        <v>0</v>
      </c>
      <c r="K106" s="102"/>
      <c r="L106" s="7"/>
      <c r="M106" s="77"/>
      <c r="N106" s="6"/>
      <c r="O106" s="6"/>
      <c r="P106" s="7"/>
      <c r="Y106" s="13" t="s">
        <v>227</v>
      </c>
    </row>
    <row r="107" ht="12.0" customHeight="1">
      <c r="B107" s="78"/>
      <c r="C107" s="79"/>
      <c r="D107" s="80"/>
      <c r="E107" s="65"/>
      <c r="F107" s="65"/>
      <c r="G107" s="65"/>
      <c r="H107" s="81"/>
      <c r="I107" s="79"/>
      <c r="J107" s="65"/>
      <c r="K107" s="46"/>
      <c r="L107" s="63"/>
      <c r="M107" s="46"/>
      <c r="N107" s="15"/>
      <c r="O107" s="15"/>
      <c r="P107" s="63"/>
      <c r="Y107" s="13" t="s">
        <v>228</v>
      </c>
    </row>
    <row r="108" ht="12.0" customHeight="1">
      <c r="A108" s="68">
        <v>13.0</v>
      </c>
      <c r="B108" s="98"/>
      <c r="C108" s="99"/>
      <c r="D108" s="100" t="s">
        <v>208</v>
      </c>
      <c r="E108" s="72"/>
      <c r="F108" s="72"/>
      <c r="G108" s="72"/>
      <c r="H108" s="73"/>
      <c r="I108" s="101"/>
      <c r="J108" s="92">
        <f>I108*B108</f>
        <v>0</v>
      </c>
      <c r="K108" s="102"/>
      <c r="L108" s="7"/>
      <c r="M108" s="77"/>
      <c r="N108" s="6"/>
      <c r="O108" s="6"/>
      <c r="P108" s="7"/>
      <c r="Y108" s="13" t="s">
        <v>229</v>
      </c>
    </row>
    <row r="109" ht="12.0" customHeight="1">
      <c r="B109" s="78"/>
      <c r="C109" s="79"/>
      <c r="D109" s="80"/>
      <c r="E109" s="65"/>
      <c r="F109" s="65"/>
      <c r="G109" s="65"/>
      <c r="H109" s="81"/>
      <c r="I109" s="79"/>
      <c r="J109" s="65"/>
      <c r="K109" s="46"/>
      <c r="L109" s="63"/>
      <c r="M109" s="46"/>
      <c r="N109" s="15"/>
      <c r="O109" s="15"/>
      <c r="P109" s="63"/>
      <c r="Y109" s="13" t="s">
        <v>230</v>
      </c>
    </row>
    <row r="110" ht="12.0" customHeight="1">
      <c r="A110" s="68">
        <v>14.0</v>
      </c>
      <c r="B110" s="98"/>
      <c r="C110" s="99"/>
      <c r="D110" s="100" t="s">
        <v>208</v>
      </c>
      <c r="E110" s="72"/>
      <c r="F110" s="72"/>
      <c r="G110" s="72"/>
      <c r="H110" s="73"/>
      <c r="I110" s="101"/>
      <c r="J110" s="92">
        <f>I110*B110</f>
        <v>0</v>
      </c>
      <c r="K110" s="102"/>
      <c r="L110" s="7"/>
      <c r="M110" s="77"/>
      <c r="N110" s="6"/>
      <c r="O110" s="6"/>
      <c r="P110" s="7"/>
      <c r="Y110" s="13" t="s">
        <v>231</v>
      </c>
    </row>
    <row r="111" ht="12.0" customHeight="1">
      <c r="B111" s="78"/>
      <c r="C111" s="79"/>
      <c r="D111" s="80"/>
      <c r="E111" s="65"/>
      <c r="F111" s="65"/>
      <c r="G111" s="65"/>
      <c r="H111" s="81"/>
      <c r="I111" s="79"/>
      <c r="J111" s="65"/>
      <c r="K111" s="46"/>
      <c r="L111" s="63"/>
      <c r="M111" s="46"/>
      <c r="N111" s="15"/>
      <c r="O111" s="15"/>
      <c r="P111" s="63"/>
      <c r="Y111" s="13" t="s">
        <v>232</v>
      </c>
    </row>
    <row r="112" ht="12.0" customHeight="1">
      <c r="A112" s="68">
        <v>15.0</v>
      </c>
      <c r="B112" s="98"/>
      <c r="C112" s="99"/>
      <c r="D112" s="100" t="s">
        <v>208</v>
      </c>
      <c r="E112" s="72"/>
      <c r="F112" s="72"/>
      <c r="G112" s="72"/>
      <c r="H112" s="73"/>
      <c r="I112" s="101"/>
      <c r="J112" s="92">
        <f>I112*B112</f>
        <v>0</v>
      </c>
      <c r="K112" s="102"/>
      <c r="L112" s="7"/>
      <c r="M112" s="77"/>
      <c r="N112" s="6"/>
      <c r="O112" s="6"/>
      <c r="P112" s="7"/>
      <c r="Y112" s="13" t="s">
        <v>233</v>
      </c>
    </row>
    <row r="113" ht="12.0" customHeight="1">
      <c r="B113" s="78"/>
      <c r="C113" s="79"/>
      <c r="D113" s="80"/>
      <c r="E113" s="65"/>
      <c r="F113" s="65"/>
      <c r="G113" s="65"/>
      <c r="H113" s="81"/>
      <c r="I113" s="79"/>
      <c r="J113" s="65"/>
      <c r="K113" s="46"/>
      <c r="L113" s="63"/>
      <c r="M113" s="46"/>
      <c r="N113" s="15"/>
      <c r="O113" s="15"/>
      <c r="P113" s="63"/>
      <c r="Y113" s="13" t="s">
        <v>234</v>
      </c>
    </row>
    <row r="114" ht="12.0" customHeight="1">
      <c r="A114" s="68">
        <v>16.0</v>
      </c>
      <c r="B114" s="98"/>
      <c r="C114" s="99"/>
      <c r="D114" s="100" t="s">
        <v>208</v>
      </c>
      <c r="E114" s="72"/>
      <c r="F114" s="72"/>
      <c r="G114" s="72"/>
      <c r="H114" s="73"/>
      <c r="I114" s="101"/>
      <c r="J114" s="92">
        <f>I114*B114</f>
        <v>0</v>
      </c>
      <c r="K114" s="102"/>
      <c r="L114" s="7"/>
      <c r="M114" s="77"/>
      <c r="N114" s="6"/>
      <c r="O114" s="6"/>
      <c r="P114" s="7"/>
      <c r="Y114" s="13" t="s">
        <v>235</v>
      </c>
    </row>
    <row r="115" ht="12.0" customHeight="1">
      <c r="B115" s="78"/>
      <c r="C115" s="79"/>
      <c r="D115" s="80"/>
      <c r="E115" s="65"/>
      <c r="F115" s="65"/>
      <c r="G115" s="65"/>
      <c r="H115" s="81"/>
      <c r="I115" s="79"/>
      <c r="J115" s="65"/>
      <c r="K115" s="46"/>
      <c r="L115" s="63"/>
      <c r="M115" s="46"/>
      <c r="N115" s="15"/>
      <c r="O115" s="15"/>
      <c r="P115" s="63"/>
      <c r="Y115" s="13" t="s">
        <v>236</v>
      </c>
    </row>
    <row r="116" ht="12.0" customHeight="1">
      <c r="A116" s="68">
        <v>17.0</v>
      </c>
      <c r="B116" s="98"/>
      <c r="C116" s="99"/>
      <c r="D116" s="100" t="s">
        <v>208</v>
      </c>
      <c r="E116" s="72"/>
      <c r="F116" s="72"/>
      <c r="G116" s="72"/>
      <c r="H116" s="73"/>
      <c r="I116" s="101"/>
      <c r="J116" s="92">
        <f>I116*B116</f>
        <v>0</v>
      </c>
      <c r="K116" s="102"/>
      <c r="L116" s="7"/>
      <c r="M116" s="77"/>
      <c r="N116" s="6"/>
      <c r="O116" s="6"/>
      <c r="P116" s="7"/>
      <c r="Y116" s="13" t="s">
        <v>237</v>
      </c>
    </row>
    <row r="117" ht="12.0" customHeight="1">
      <c r="B117" s="78"/>
      <c r="C117" s="79"/>
      <c r="D117" s="80"/>
      <c r="E117" s="65"/>
      <c r="F117" s="65"/>
      <c r="G117" s="65"/>
      <c r="H117" s="81"/>
      <c r="I117" s="79"/>
      <c r="J117" s="65"/>
      <c r="K117" s="46"/>
      <c r="L117" s="63"/>
      <c r="M117" s="46"/>
      <c r="N117" s="15"/>
      <c r="O117" s="15"/>
      <c r="P117" s="63"/>
      <c r="Y117" s="13" t="s">
        <v>238</v>
      </c>
    </row>
    <row r="118" ht="12.0" customHeight="1">
      <c r="A118" s="68">
        <v>18.0</v>
      </c>
      <c r="B118" s="98"/>
      <c r="C118" s="99"/>
      <c r="D118" s="100" t="s">
        <v>208</v>
      </c>
      <c r="E118" s="72"/>
      <c r="F118" s="72"/>
      <c r="G118" s="72"/>
      <c r="H118" s="73"/>
      <c r="I118" s="101"/>
      <c r="J118" s="92">
        <f>I118*B118</f>
        <v>0</v>
      </c>
      <c r="K118" s="102"/>
      <c r="L118" s="7"/>
      <c r="M118" s="77"/>
      <c r="N118" s="6"/>
      <c r="O118" s="6"/>
      <c r="P118" s="7"/>
      <c r="Y118" s="13" t="s">
        <v>239</v>
      </c>
    </row>
    <row r="119" ht="12.0" customHeight="1">
      <c r="B119" s="78"/>
      <c r="C119" s="79"/>
      <c r="D119" s="80"/>
      <c r="E119" s="65"/>
      <c r="F119" s="65"/>
      <c r="G119" s="65"/>
      <c r="H119" s="81"/>
      <c r="I119" s="79"/>
      <c r="J119" s="65"/>
      <c r="K119" s="46"/>
      <c r="L119" s="63"/>
      <c r="M119" s="46"/>
      <c r="N119" s="15"/>
      <c r="O119" s="15"/>
      <c r="P119" s="63"/>
      <c r="Y119" s="13" t="s">
        <v>240</v>
      </c>
    </row>
    <row r="120" ht="12.0" customHeight="1">
      <c r="A120" s="68">
        <v>19.0</v>
      </c>
      <c r="B120" s="98"/>
      <c r="C120" s="99"/>
      <c r="D120" s="100" t="s">
        <v>208</v>
      </c>
      <c r="E120" s="72"/>
      <c r="F120" s="72"/>
      <c r="G120" s="72"/>
      <c r="H120" s="73"/>
      <c r="I120" s="101"/>
      <c r="J120" s="92">
        <f>I120*B120</f>
        <v>0</v>
      </c>
      <c r="K120" s="102"/>
      <c r="L120" s="7"/>
      <c r="M120" s="77"/>
      <c r="N120" s="6"/>
      <c r="O120" s="6"/>
      <c r="P120" s="7"/>
      <c r="Y120" s="13" t="s">
        <v>241</v>
      </c>
    </row>
    <row r="121" ht="12.0" customHeight="1">
      <c r="B121" s="78"/>
      <c r="C121" s="79"/>
      <c r="D121" s="80"/>
      <c r="E121" s="65"/>
      <c r="F121" s="65"/>
      <c r="G121" s="65"/>
      <c r="H121" s="81"/>
      <c r="I121" s="79"/>
      <c r="J121" s="65"/>
      <c r="K121" s="46"/>
      <c r="L121" s="63"/>
      <c r="M121" s="46"/>
      <c r="N121" s="15"/>
      <c r="O121" s="15"/>
      <c r="P121" s="63"/>
      <c r="Y121" s="13" t="s">
        <v>242</v>
      </c>
    </row>
    <row r="122" ht="12.0" customHeight="1">
      <c r="A122" s="68">
        <v>20.0</v>
      </c>
      <c r="B122" s="98"/>
      <c r="C122" s="99"/>
      <c r="D122" s="100" t="s">
        <v>208</v>
      </c>
      <c r="E122" s="72"/>
      <c r="F122" s="72"/>
      <c r="G122" s="72"/>
      <c r="H122" s="73"/>
      <c r="I122" s="101"/>
      <c r="J122" s="92">
        <f>I122*B122</f>
        <v>0</v>
      </c>
      <c r="K122" s="102"/>
      <c r="L122" s="7"/>
      <c r="M122" s="77"/>
      <c r="N122" s="6"/>
      <c r="O122" s="6"/>
      <c r="P122" s="7"/>
      <c r="Y122" s="13" t="s">
        <v>243</v>
      </c>
    </row>
    <row r="123" ht="12.0" customHeight="1">
      <c r="B123" s="78"/>
      <c r="C123" s="79"/>
      <c r="D123" s="80"/>
      <c r="E123" s="65"/>
      <c r="F123" s="65"/>
      <c r="G123" s="65"/>
      <c r="H123" s="81"/>
      <c r="I123" s="79"/>
      <c r="J123" s="65"/>
      <c r="K123" s="46"/>
      <c r="L123" s="63"/>
      <c r="M123" s="46"/>
      <c r="N123" s="15"/>
      <c r="O123" s="15"/>
      <c r="P123" s="63"/>
    </row>
    <row r="124" ht="12.0" customHeight="1">
      <c r="A124" s="68">
        <v>21.0</v>
      </c>
      <c r="B124" s="98"/>
      <c r="C124" s="99"/>
      <c r="D124" s="100" t="s">
        <v>208</v>
      </c>
      <c r="E124" s="72"/>
      <c r="F124" s="72"/>
      <c r="G124" s="72"/>
      <c r="H124" s="73"/>
      <c r="I124" s="101"/>
      <c r="J124" s="92">
        <f>I124*B124</f>
        <v>0</v>
      </c>
      <c r="K124" s="102"/>
      <c r="L124" s="7"/>
      <c r="M124" s="77"/>
      <c r="N124" s="6"/>
      <c r="O124" s="6"/>
      <c r="P124" s="7"/>
    </row>
    <row r="125" ht="12.0" customHeight="1">
      <c r="B125" s="78"/>
      <c r="C125" s="79"/>
      <c r="D125" s="80"/>
      <c r="E125" s="65"/>
      <c r="F125" s="65"/>
      <c r="G125" s="65"/>
      <c r="H125" s="81"/>
      <c r="I125" s="79"/>
      <c r="J125" s="65"/>
      <c r="K125" s="46"/>
      <c r="L125" s="63"/>
      <c r="M125" s="46"/>
      <c r="N125" s="15"/>
      <c r="O125" s="15"/>
      <c r="P125" s="63"/>
    </row>
    <row r="126" ht="12.0" customHeight="1">
      <c r="A126" s="68">
        <v>22.0</v>
      </c>
      <c r="B126" s="98"/>
      <c r="C126" s="99"/>
      <c r="D126" s="100" t="s">
        <v>208</v>
      </c>
      <c r="E126" s="72"/>
      <c r="F126" s="72"/>
      <c r="G126" s="72"/>
      <c r="H126" s="73"/>
      <c r="I126" s="101"/>
      <c r="J126" s="92">
        <f>I126*B126</f>
        <v>0</v>
      </c>
      <c r="K126" s="102"/>
      <c r="L126" s="7"/>
      <c r="M126" s="77"/>
      <c r="N126" s="6"/>
      <c r="O126" s="6"/>
      <c r="P126" s="7"/>
    </row>
    <row r="127" ht="12.0" customHeight="1">
      <c r="B127" s="78"/>
      <c r="C127" s="79"/>
      <c r="D127" s="80"/>
      <c r="E127" s="65"/>
      <c r="F127" s="65"/>
      <c r="G127" s="65"/>
      <c r="H127" s="81"/>
      <c r="I127" s="79"/>
      <c r="J127" s="65"/>
      <c r="K127" s="46"/>
      <c r="L127" s="63"/>
      <c r="M127" s="46"/>
      <c r="N127" s="15"/>
      <c r="O127" s="15"/>
      <c r="P127" s="63"/>
    </row>
    <row r="128" ht="12.0" customHeight="1">
      <c r="A128" s="68">
        <v>23.0</v>
      </c>
      <c r="B128" s="98"/>
      <c r="C128" s="99"/>
      <c r="D128" s="100" t="s">
        <v>208</v>
      </c>
      <c r="E128" s="72"/>
      <c r="F128" s="72"/>
      <c r="G128" s="72"/>
      <c r="H128" s="73"/>
      <c r="I128" s="101"/>
      <c r="J128" s="92">
        <f>I128*B128</f>
        <v>0</v>
      </c>
      <c r="K128" s="102"/>
      <c r="L128" s="7"/>
      <c r="M128" s="77"/>
      <c r="N128" s="6"/>
      <c r="O128" s="6"/>
      <c r="P128" s="7"/>
    </row>
    <row r="129" ht="12.0" customHeight="1">
      <c r="B129" s="78"/>
      <c r="C129" s="79"/>
      <c r="D129" s="80"/>
      <c r="E129" s="65"/>
      <c r="F129" s="65"/>
      <c r="G129" s="65"/>
      <c r="H129" s="81"/>
      <c r="I129" s="79"/>
      <c r="J129" s="65"/>
      <c r="K129" s="46"/>
      <c r="L129" s="63"/>
      <c r="M129" s="46"/>
      <c r="N129" s="15"/>
      <c r="O129" s="15"/>
      <c r="P129" s="63"/>
    </row>
    <row r="130" ht="12.0" customHeight="1">
      <c r="A130" s="68">
        <v>24.0</v>
      </c>
      <c r="B130" s="98"/>
      <c r="C130" s="99"/>
      <c r="D130" s="100" t="s">
        <v>208</v>
      </c>
      <c r="E130" s="72"/>
      <c r="F130" s="72"/>
      <c r="G130" s="72"/>
      <c r="H130" s="73"/>
      <c r="I130" s="101"/>
      <c r="J130" s="92">
        <f>I130*B130</f>
        <v>0</v>
      </c>
      <c r="K130" s="102"/>
      <c r="L130" s="7"/>
      <c r="M130" s="77"/>
      <c r="N130" s="6"/>
      <c r="O130" s="6"/>
      <c r="P130" s="7"/>
    </row>
    <row r="131" ht="12.0" customHeight="1">
      <c r="B131" s="78"/>
      <c r="C131" s="79"/>
      <c r="D131" s="80"/>
      <c r="E131" s="65"/>
      <c r="F131" s="65"/>
      <c r="G131" s="65"/>
      <c r="H131" s="81"/>
      <c r="I131" s="79"/>
      <c r="J131" s="65"/>
      <c r="K131" s="46"/>
      <c r="L131" s="63"/>
      <c r="M131" s="46"/>
      <c r="N131" s="15"/>
      <c r="O131" s="15"/>
      <c r="P131" s="63"/>
    </row>
    <row r="132" ht="12.0" customHeight="1">
      <c r="A132" s="68">
        <v>25.0</v>
      </c>
      <c r="B132" s="98"/>
      <c r="C132" s="99"/>
      <c r="D132" s="100" t="s">
        <v>208</v>
      </c>
      <c r="E132" s="72"/>
      <c r="F132" s="72"/>
      <c r="G132" s="72"/>
      <c r="H132" s="73"/>
      <c r="I132" s="101"/>
      <c r="J132" s="92">
        <f>I132*B132</f>
        <v>0</v>
      </c>
      <c r="K132" s="102"/>
      <c r="L132" s="7"/>
      <c r="M132" s="77"/>
      <c r="N132" s="6"/>
      <c r="O132" s="6"/>
      <c r="P132" s="7"/>
    </row>
    <row r="133" ht="12.0" customHeight="1">
      <c r="B133" s="78"/>
      <c r="C133" s="79"/>
      <c r="D133" s="80"/>
      <c r="E133" s="65"/>
      <c r="F133" s="65"/>
      <c r="G133" s="65"/>
      <c r="H133" s="81"/>
      <c r="I133" s="79"/>
      <c r="J133" s="65"/>
      <c r="K133" s="46"/>
      <c r="L133" s="63"/>
      <c r="M133" s="46"/>
      <c r="N133" s="15"/>
      <c r="O133" s="15"/>
      <c r="P133" s="63"/>
    </row>
    <row r="134" ht="12.0" customHeight="1">
      <c r="A134" s="68">
        <v>26.0</v>
      </c>
      <c r="B134" s="98"/>
      <c r="C134" s="99"/>
      <c r="D134" s="100" t="s">
        <v>208</v>
      </c>
      <c r="E134" s="72"/>
      <c r="F134" s="72"/>
      <c r="G134" s="72"/>
      <c r="H134" s="73"/>
      <c r="I134" s="101"/>
      <c r="J134" s="92">
        <f>I134*B134</f>
        <v>0</v>
      </c>
      <c r="K134" s="102"/>
      <c r="L134" s="7"/>
      <c r="M134" s="77"/>
      <c r="N134" s="6"/>
      <c r="O134" s="6"/>
      <c r="P134" s="7"/>
    </row>
    <row r="135" ht="12.0" customHeight="1">
      <c r="B135" s="78"/>
      <c r="C135" s="79"/>
      <c r="D135" s="80"/>
      <c r="E135" s="65"/>
      <c r="F135" s="65"/>
      <c r="G135" s="65"/>
      <c r="H135" s="81"/>
      <c r="I135" s="79"/>
      <c r="J135" s="65"/>
      <c r="K135" s="46"/>
      <c r="L135" s="63"/>
      <c r="M135" s="46"/>
      <c r="N135" s="15"/>
      <c r="O135" s="15"/>
      <c r="P135" s="63"/>
    </row>
    <row r="136" ht="12.0" customHeight="1">
      <c r="A136" s="68">
        <v>27.0</v>
      </c>
      <c r="B136" s="98"/>
      <c r="C136" s="99"/>
      <c r="D136" s="100" t="s">
        <v>208</v>
      </c>
      <c r="E136" s="72"/>
      <c r="F136" s="72"/>
      <c r="G136" s="72"/>
      <c r="H136" s="73"/>
      <c r="I136" s="101"/>
      <c r="J136" s="92">
        <f>I136*B136</f>
        <v>0</v>
      </c>
      <c r="K136" s="102"/>
      <c r="L136" s="7"/>
      <c r="M136" s="77"/>
      <c r="N136" s="6"/>
      <c r="O136" s="6"/>
      <c r="P136" s="7"/>
    </row>
    <row r="137" ht="12.0" customHeight="1">
      <c r="B137" s="78"/>
      <c r="C137" s="79"/>
      <c r="D137" s="80"/>
      <c r="E137" s="65"/>
      <c r="F137" s="65"/>
      <c r="G137" s="65"/>
      <c r="H137" s="81"/>
      <c r="I137" s="79"/>
      <c r="J137" s="65"/>
      <c r="K137" s="46"/>
      <c r="L137" s="63"/>
      <c r="M137" s="46"/>
      <c r="N137" s="15"/>
      <c r="O137" s="15"/>
      <c r="P137" s="63"/>
    </row>
    <row r="138" ht="12.0" customHeight="1">
      <c r="A138" s="68">
        <v>28.0</v>
      </c>
      <c r="B138" s="98"/>
      <c r="C138" s="99"/>
      <c r="D138" s="100" t="s">
        <v>208</v>
      </c>
      <c r="E138" s="72"/>
      <c r="F138" s="72"/>
      <c r="G138" s="72"/>
      <c r="H138" s="73"/>
      <c r="I138" s="101"/>
      <c r="J138" s="92">
        <f>I138*B138</f>
        <v>0</v>
      </c>
      <c r="K138" s="102"/>
      <c r="L138" s="7"/>
      <c r="M138" s="77"/>
      <c r="N138" s="6"/>
      <c r="O138" s="6"/>
      <c r="P138" s="7"/>
    </row>
    <row r="139" ht="12.0" customHeight="1">
      <c r="B139" s="78"/>
      <c r="C139" s="79"/>
      <c r="D139" s="80"/>
      <c r="E139" s="65"/>
      <c r="F139" s="65"/>
      <c r="G139" s="65"/>
      <c r="H139" s="81"/>
      <c r="I139" s="79"/>
      <c r="J139" s="65"/>
      <c r="K139" s="46"/>
      <c r="L139" s="63"/>
      <c r="M139" s="46"/>
      <c r="N139" s="15"/>
      <c r="O139" s="15"/>
      <c r="P139" s="63"/>
    </row>
    <row r="140" ht="12.0" customHeight="1">
      <c r="A140" s="68">
        <v>29.0</v>
      </c>
      <c r="B140" s="98"/>
      <c r="C140" s="99"/>
      <c r="D140" s="100" t="s">
        <v>208</v>
      </c>
      <c r="E140" s="72"/>
      <c r="F140" s="72"/>
      <c r="G140" s="72"/>
      <c r="H140" s="73"/>
      <c r="I140" s="101"/>
      <c r="J140" s="92">
        <f>I140*B140</f>
        <v>0</v>
      </c>
      <c r="K140" s="102"/>
      <c r="L140" s="7"/>
      <c r="M140" s="77"/>
      <c r="N140" s="6"/>
      <c r="O140" s="6"/>
      <c r="P140" s="7"/>
    </row>
    <row r="141" ht="12.0" customHeight="1">
      <c r="B141" s="78"/>
      <c r="C141" s="79"/>
      <c r="D141" s="80"/>
      <c r="E141" s="65"/>
      <c r="F141" s="65"/>
      <c r="G141" s="65"/>
      <c r="H141" s="81"/>
      <c r="I141" s="79"/>
      <c r="J141" s="65"/>
      <c r="K141" s="46"/>
      <c r="L141" s="63"/>
      <c r="M141" s="46"/>
      <c r="N141" s="15"/>
      <c r="O141" s="15"/>
      <c r="P141" s="63"/>
    </row>
    <row r="142" ht="12.0" customHeight="1">
      <c r="A142" s="68">
        <v>30.0</v>
      </c>
      <c r="B142" s="98"/>
      <c r="C142" s="99"/>
      <c r="D142" s="100" t="s">
        <v>208</v>
      </c>
      <c r="E142" s="72"/>
      <c r="F142" s="72"/>
      <c r="G142" s="72"/>
      <c r="H142" s="73"/>
      <c r="I142" s="101"/>
      <c r="J142" s="92">
        <f>I142*B142</f>
        <v>0</v>
      </c>
      <c r="K142" s="102"/>
      <c r="L142" s="7"/>
      <c r="M142" s="77"/>
      <c r="N142" s="6"/>
      <c r="O142" s="6"/>
      <c r="P142" s="7"/>
    </row>
    <row r="143" ht="12.0" customHeight="1">
      <c r="B143" s="78"/>
      <c r="C143" s="79"/>
      <c r="D143" s="80"/>
      <c r="E143" s="65"/>
      <c r="F143" s="65"/>
      <c r="G143" s="65"/>
      <c r="H143" s="81"/>
      <c r="I143" s="79"/>
      <c r="J143" s="65"/>
      <c r="K143" s="46"/>
      <c r="L143" s="63"/>
      <c r="M143" s="46"/>
      <c r="N143" s="15"/>
      <c r="O143" s="15"/>
      <c r="P143" s="63"/>
    </row>
    <row r="144" ht="12.0" customHeight="1">
      <c r="A144" s="68">
        <v>31.0</v>
      </c>
      <c r="B144" s="98"/>
      <c r="C144" s="99"/>
      <c r="D144" s="100" t="s">
        <v>208</v>
      </c>
      <c r="E144" s="72"/>
      <c r="F144" s="72"/>
      <c r="G144" s="72"/>
      <c r="H144" s="73"/>
      <c r="I144" s="101"/>
      <c r="J144" s="92">
        <f>I144*B144</f>
        <v>0</v>
      </c>
      <c r="K144" s="102"/>
      <c r="L144" s="7"/>
      <c r="M144" s="77"/>
      <c r="N144" s="6"/>
      <c r="O144" s="6"/>
      <c r="P144" s="7"/>
    </row>
    <row r="145" ht="12.0" customHeight="1">
      <c r="B145" s="78"/>
      <c r="C145" s="79"/>
      <c r="D145" s="80"/>
      <c r="E145" s="65"/>
      <c r="F145" s="65"/>
      <c r="G145" s="65"/>
      <c r="H145" s="81"/>
      <c r="I145" s="79"/>
      <c r="J145" s="65"/>
      <c r="K145" s="46"/>
      <c r="L145" s="63"/>
      <c r="M145" s="46"/>
      <c r="N145" s="15"/>
      <c r="O145" s="15"/>
      <c r="P145" s="63"/>
    </row>
    <row r="146" ht="12.0" customHeight="1">
      <c r="A146" s="68">
        <v>32.0</v>
      </c>
      <c r="B146" s="98"/>
      <c r="C146" s="99"/>
      <c r="D146" s="100" t="s">
        <v>208</v>
      </c>
      <c r="E146" s="72"/>
      <c r="F146" s="72"/>
      <c r="G146" s="72"/>
      <c r="H146" s="73"/>
      <c r="I146" s="101"/>
      <c r="J146" s="92">
        <f>I146*B146</f>
        <v>0</v>
      </c>
      <c r="K146" s="102"/>
      <c r="L146" s="7"/>
      <c r="M146" s="77"/>
      <c r="N146" s="6"/>
      <c r="O146" s="6"/>
      <c r="P146" s="7"/>
    </row>
    <row r="147" ht="12.0" customHeight="1">
      <c r="B147" s="78"/>
      <c r="C147" s="79"/>
      <c r="D147" s="80"/>
      <c r="E147" s="65"/>
      <c r="F147" s="65"/>
      <c r="G147" s="65"/>
      <c r="H147" s="81"/>
      <c r="I147" s="79"/>
      <c r="J147" s="65"/>
      <c r="K147" s="46"/>
      <c r="L147" s="63"/>
      <c r="M147" s="46"/>
      <c r="N147" s="15"/>
      <c r="O147" s="15"/>
      <c r="P147" s="63"/>
    </row>
    <row r="148" ht="12.0" customHeight="1">
      <c r="A148" s="68">
        <v>33.0</v>
      </c>
      <c r="B148" s="98"/>
      <c r="C148" s="99"/>
      <c r="D148" s="100" t="s">
        <v>208</v>
      </c>
      <c r="E148" s="72"/>
      <c r="F148" s="72"/>
      <c r="G148" s="72"/>
      <c r="H148" s="73"/>
      <c r="I148" s="101"/>
      <c r="J148" s="92">
        <f>I148*B148</f>
        <v>0</v>
      </c>
      <c r="K148" s="102"/>
      <c r="L148" s="7"/>
      <c r="M148" s="77"/>
      <c r="N148" s="6"/>
      <c r="O148" s="6"/>
      <c r="P148" s="7"/>
    </row>
    <row r="149" ht="12.0" customHeight="1">
      <c r="B149" s="78"/>
      <c r="C149" s="79"/>
      <c r="D149" s="80"/>
      <c r="E149" s="65"/>
      <c r="F149" s="65"/>
      <c r="G149" s="65"/>
      <c r="H149" s="81"/>
      <c r="I149" s="79"/>
      <c r="J149" s="65"/>
      <c r="K149" s="46"/>
      <c r="L149" s="63"/>
      <c r="M149" s="46"/>
      <c r="N149" s="15"/>
      <c r="O149" s="15"/>
      <c r="P149" s="63"/>
    </row>
    <row r="150" ht="12.0" customHeight="1">
      <c r="A150" s="68">
        <v>34.0</v>
      </c>
      <c r="B150" s="98"/>
      <c r="C150" s="99"/>
      <c r="D150" s="100" t="s">
        <v>208</v>
      </c>
      <c r="E150" s="72"/>
      <c r="F150" s="72"/>
      <c r="G150" s="72"/>
      <c r="H150" s="73"/>
      <c r="I150" s="101"/>
      <c r="J150" s="92">
        <f>I150*B150</f>
        <v>0</v>
      </c>
      <c r="K150" s="102"/>
      <c r="L150" s="7"/>
      <c r="M150" s="77"/>
      <c r="N150" s="6"/>
      <c r="O150" s="6"/>
      <c r="P150" s="7"/>
    </row>
    <row r="151" ht="12.0" customHeight="1">
      <c r="B151" s="78"/>
      <c r="C151" s="79"/>
      <c r="D151" s="80"/>
      <c r="E151" s="65"/>
      <c r="F151" s="65"/>
      <c r="G151" s="65"/>
      <c r="H151" s="81"/>
      <c r="I151" s="79"/>
      <c r="J151" s="65"/>
      <c r="K151" s="46"/>
      <c r="L151" s="63"/>
      <c r="M151" s="46"/>
      <c r="N151" s="15"/>
      <c r="O151" s="15"/>
      <c r="P151" s="63"/>
    </row>
    <row r="152" ht="12.0" customHeight="1">
      <c r="A152" s="68">
        <v>35.0</v>
      </c>
      <c r="B152" s="98"/>
      <c r="C152" s="99"/>
      <c r="D152" s="100" t="s">
        <v>208</v>
      </c>
      <c r="E152" s="72"/>
      <c r="F152" s="72"/>
      <c r="G152" s="72"/>
      <c r="H152" s="73"/>
      <c r="I152" s="101"/>
      <c r="J152" s="92">
        <f>I152*B152</f>
        <v>0</v>
      </c>
      <c r="K152" s="102"/>
      <c r="L152" s="7"/>
      <c r="M152" s="77"/>
      <c r="N152" s="6"/>
      <c r="O152" s="6"/>
      <c r="P152" s="7"/>
    </row>
    <row r="153" ht="12.0" customHeight="1">
      <c r="B153" s="78"/>
      <c r="C153" s="79"/>
      <c r="D153" s="80"/>
      <c r="E153" s="65"/>
      <c r="F153" s="65"/>
      <c r="G153" s="65"/>
      <c r="H153" s="81"/>
      <c r="I153" s="79"/>
      <c r="J153" s="65"/>
      <c r="K153" s="46"/>
      <c r="L153" s="63"/>
      <c r="M153" s="46"/>
      <c r="N153" s="15"/>
      <c r="O153" s="15"/>
      <c r="P153" s="63"/>
    </row>
    <row r="154" ht="12.0" customHeight="1">
      <c r="A154" s="68">
        <v>36.0</v>
      </c>
      <c r="B154" s="98"/>
      <c r="C154" s="99"/>
      <c r="D154" s="100" t="s">
        <v>208</v>
      </c>
      <c r="E154" s="72"/>
      <c r="F154" s="72"/>
      <c r="G154" s="72"/>
      <c r="H154" s="73"/>
      <c r="I154" s="101"/>
      <c r="J154" s="92">
        <f>I154*B154</f>
        <v>0</v>
      </c>
      <c r="K154" s="102"/>
      <c r="L154" s="7"/>
      <c r="M154" s="77"/>
      <c r="N154" s="6"/>
      <c r="O154" s="6"/>
      <c r="P154" s="7"/>
    </row>
    <row r="155" ht="12.0" customHeight="1">
      <c r="B155" s="78"/>
      <c r="C155" s="79"/>
      <c r="D155" s="80"/>
      <c r="E155" s="65"/>
      <c r="F155" s="65"/>
      <c r="G155" s="65"/>
      <c r="H155" s="81"/>
      <c r="I155" s="79"/>
      <c r="J155" s="65"/>
      <c r="K155" s="46"/>
      <c r="L155" s="63"/>
      <c r="M155" s="46"/>
      <c r="N155" s="15"/>
      <c r="O155" s="15"/>
      <c r="P155" s="63"/>
    </row>
    <row r="156" ht="12.0" customHeight="1">
      <c r="A156" s="68">
        <v>37.0</v>
      </c>
      <c r="B156" s="98"/>
      <c r="C156" s="99"/>
      <c r="D156" s="100" t="s">
        <v>208</v>
      </c>
      <c r="E156" s="72"/>
      <c r="F156" s="72"/>
      <c r="G156" s="72"/>
      <c r="H156" s="73"/>
      <c r="I156" s="101"/>
      <c r="J156" s="92">
        <f>I156*B156</f>
        <v>0</v>
      </c>
      <c r="K156" s="102"/>
      <c r="L156" s="7"/>
      <c r="M156" s="77"/>
      <c r="N156" s="6"/>
      <c r="O156" s="6"/>
      <c r="P156" s="7"/>
    </row>
    <row r="157" ht="12.0" customHeight="1">
      <c r="B157" s="78"/>
      <c r="C157" s="79"/>
      <c r="D157" s="80"/>
      <c r="E157" s="65"/>
      <c r="F157" s="65"/>
      <c r="G157" s="65"/>
      <c r="H157" s="81"/>
      <c r="I157" s="79"/>
      <c r="J157" s="65"/>
      <c r="K157" s="46"/>
      <c r="L157" s="63"/>
      <c r="M157" s="46"/>
      <c r="N157" s="15"/>
      <c r="O157" s="15"/>
      <c r="P157" s="63"/>
    </row>
    <row r="158" ht="12.0" customHeight="1">
      <c r="A158" s="68">
        <v>38.0</v>
      </c>
      <c r="B158" s="98"/>
      <c r="C158" s="99"/>
      <c r="D158" s="100" t="s">
        <v>208</v>
      </c>
      <c r="E158" s="72"/>
      <c r="F158" s="72"/>
      <c r="G158" s="72"/>
      <c r="H158" s="73"/>
      <c r="I158" s="101"/>
      <c r="J158" s="92">
        <f>I158*B158</f>
        <v>0</v>
      </c>
      <c r="K158" s="102"/>
      <c r="L158" s="7"/>
      <c r="M158" s="77"/>
      <c r="N158" s="6"/>
      <c r="O158" s="6"/>
      <c r="P158" s="7"/>
    </row>
    <row r="159" ht="12.0" customHeight="1">
      <c r="B159" s="78"/>
      <c r="C159" s="79"/>
      <c r="D159" s="80"/>
      <c r="E159" s="65"/>
      <c r="F159" s="65"/>
      <c r="G159" s="65"/>
      <c r="H159" s="81"/>
      <c r="I159" s="79"/>
      <c r="J159" s="65"/>
      <c r="K159" s="46"/>
      <c r="L159" s="63"/>
      <c r="M159" s="46"/>
      <c r="N159" s="15"/>
      <c r="O159" s="15"/>
      <c r="P159" s="63"/>
    </row>
    <row r="160" ht="12.0" customHeight="1">
      <c r="A160" s="68">
        <v>39.0</v>
      </c>
      <c r="B160" s="98"/>
      <c r="C160" s="99"/>
      <c r="D160" s="100" t="s">
        <v>208</v>
      </c>
      <c r="E160" s="72"/>
      <c r="F160" s="72"/>
      <c r="G160" s="72"/>
      <c r="H160" s="73"/>
      <c r="I160" s="101"/>
      <c r="J160" s="92">
        <f>I160*B160</f>
        <v>0</v>
      </c>
      <c r="K160" s="102"/>
      <c r="L160" s="7"/>
      <c r="M160" s="77"/>
      <c r="N160" s="6"/>
      <c r="O160" s="6"/>
      <c r="P160" s="7"/>
    </row>
    <row r="161" ht="12.0" customHeight="1">
      <c r="B161" s="78"/>
      <c r="C161" s="79"/>
      <c r="D161" s="80"/>
      <c r="E161" s="65"/>
      <c r="F161" s="65"/>
      <c r="G161" s="65"/>
      <c r="H161" s="81"/>
      <c r="I161" s="79"/>
      <c r="J161" s="65"/>
      <c r="K161" s="46"/>
      <c r="L161" s="63"/>
      <c r="M161" s="46"/>
      <c r="N161" s="15"/>
      <c r="O161" s="15"/>
      <c r="P161" s="63"/>
    </row>
    <row r="162" ht="12.0" customHeight="1">
      <c r="A162" s="68">
        <v>40.0</v>
      </c>
      <c r="B162" s="98"/>
      <c r="C162" s="99"/>
      <c r="D162" s="100" t="s">
        <v>208</v>
      </c>
      <c r="E162" s="72"/>
      <c r="F162" s="72"/>
      <c r="G162" s="72"/>
      <c r="H162" s="73"/>
      <c r="I162" s="101"/>
      <c r="J162" s="92">
        <f>I162*B162</f>
        <v>0</v>
      </c>
      <c r="K162" s="102"/>
      <c r="L162" s="7"/>
      <c r="M162" s="77"/>
      <c r="N162" s="6"/>
      <c r="O162" s="6"/>
      <c r="P162" s="7"/>
    </row>
    <row r="163" ht="12.0" customHeight="1">
      <c r="B163" s="78"/>
      <c r="C163" s="79"/>
      <c r="D163" s="80"/>
      <c r="E163" s="65"/>
      <c r="F163" s="65"/>
      <c r="G163" s="65"/>
      <c r="H163" s="81"/>
      <c r="I163" s="79"/>
      <c r="J163" s="65"/>
      <c r="K163" s="46"/>
      <c r="L163" s="63"/>
      <c r="M163" s="46"/>
      <c r="N163" s="15"/>
      <c r="O163" s="15"/>
      <c r="P163" s="63"/>
    </row>
    <row r="164" ht="12.0" customHeight="1">
      <c r="A164" s="68">
        <v>41.0</v>
      </c>
      <c r="B164" s="98"/>
      <c r="C164" s="99"/>
      <c r="D164" s="100" t="s">
        <v>208</v>
      </c>
      <c r="E164" s="72"/>
      <c r="F164" s="72"/>
      <c r="G164" s="72"/>
      <c r="H164" s="73"/>
      <c r="I164" s="101"/>
      <c r="J164" s="92">
        <f>I164*B164</f>
        <v>0</v>
      </c>
      <c r="K164" s="102"/>
      <c r="L164" s="7"/>
      <c r="M164" s="77"/>
      <c r="N164" s="6"/>
      <c r="O164" s="6"/>
      <c r="P164" s="7"/>
    </row>
    <row r="165" ht="12.0" customHeight="1">
      <c r="B165" s="78"/>
      <c r="C165" s="79"/>
      <c r="D165" s="80"/>
      <c r="E165" s="65"/>
      <c r="F165" s="65"/>
      <c r="G165" s="65"/>
      <c r="H165" s="81"/>
      <c r="I165" s="79"/>
      <c r="J165" s="65"/>
      <c r="K165" s="46"/>
      <c r="L165" s="63"/>
      <c r="M165" s="46"/>
      <c r="N165" s="15"/>
      <c r="O165" s="15"/>
      <c r="P165" s="63"/>
    </row>
    <row r="166" ht="12.0" customHeight="1">
      <c r="A166" s="68">
        <v>42.0</v>
      </c>
      <c r="B166" s="98"/>
      <c r="C166" s="99"/>
      <c r="D166" s="100" t="s">
        <v>208</v>
      </c>
      <c r="E166" s="72"/>
      <c r="F166" s="72"/>
      <c r="G166" s="72"/>
      <c r="H166" s="73"/>
      <c r="I166" s="101"/>
      <c r="J166" s="92">
        <f>I166*B166</f>
        <v>0</v>
      </c>
      <c r="K166" s="102"/>
      <c r="L166" s="7"/>
      <c r="M166" s="77"/>
      <c r="N166" s="6"/>
      <c r="O166" s="6"/>
      <c r="P166" s="7"/>
    </row>
    <row r="167" ht="12.0" customHeight="1">
      <c r="B167" s="78"/>
      <c r="C167" s="79"/>
      <c r="D167" s="80"/>
      <c r="E167" s="65"/>
      <c r="F167" s="65"/>
      <c r="G167" s="65"/>
      <c r="H167" s="81"/>
      <c r="I167" s="79"/>
      <c r="J167" s="65"/>
      <c r="K167" s="46"/>
      <c r="L167" s="63"/>
      <c r="M167" s="46"/>
      <c r="N167" s="15"/>
      <c r="O167" s="15"/>
      <c r="P167" s="63"/>
    </row>
    <row r="168" ht="12.0" customHeight="1">
      <c r="A168" s="68">
        <v>43.0</v>
      </c>
      <c r="B168" s="98"/>
      <c r="C168" s="99"/>
      <c r="D168" s="100" t="s">
        <v>208</v>
      </c>
      <c r="E168" s="72"/>
      <c r="F168" s="72"/>
      <c r="G168" s="72"/>
      <c r="H168" s="73"/>
      <c r="I168" s="101"/>
      <c r="J168" s="92">
        <f>I168*B168</f>
        <v>0</v>
      </c>
      <c r="K168" s="102"/>
      <c r="L168" s="7"/>
      <c r="M168" s="77"/>
      <c r="N168" s="6"/>
      <c r="O168" s="6"/>
      <c r="P168" s="7"/>
    </row>
    <row r="169" ht="12.0" customHeight="1">
      <c r="B169" s="78"/>
      <c r="C169" s="79"/>
      <c r="D169" s="80"/>
      <c r="E169" s="65"/>
      <c r="F169" s="65"/>
      <c r="G169" s="65"/>
      <c r="H169" s="81"/>
      <c r="I169" s="79"/>
      <c r="J169" s="65"/>
      <c r="K169" s="46"/>
      <c r="L169" s="63"/>
      <c r="M169" s="46"/>
      <c r="N169" s="15"/>
      <c r="O169" s="15"/>
      <c r="P169" s="63"/>
    </row>
    <row r="170" ht="12.0" customHeight="1">
      <c r="A170" s="68">
        <v>44.0</v>
      </c>
      <c r="B170" s="98"/>
      <c r="C170" s="99"/>
      <c r="D170" s="100" t="s">
        <v>208</v>
      </c>
      <c r="E170" s="72"/>
      <c r="F170" s="72"/>
      <c r="G170" s="72"/>
      <c r="H170" s="73"/>
      <c r="I170" s="101"/>
      <c r="J170" s="92">
        <f>I170*B170</f>
        <v>0</v>
      </c>
      <c r="K170" s="102"/>
      <c r="L170" s="7"/>
      <c r="M170" s="77"/>
      <c r="N170" s="6"/>
      <c r="O170" s="6"/>
      <c r="P170" s="7"/>
    </row>
    <row r="171" ht="12.0" customHeight="1">
      <c r="B171" s="78"/>
      <c r="C171" s="79"/>
      <c r="D171" s="80"/>
      <c r="E171" s="65"/>
      <c r="F171" s="65"/>
      <c r="G171" s="65"/>
      <c r="H171" s="81"/>
      <c r="I171" s="79"/>
      <c r="J171" s="65"/>
      <c r="K171" s="46"/>
      <c r="L171" s="63"/>
      <c r="M171" s="46"/>
      <c r="N171" s="15"/>
      <c r="O171" s="15"/>
      <c r="P171" s="63"/>
    </row>
    <row r="172" ht="12.0" customHeight="1">
      <c r="A172" s="68">
        <v>45.0</v>
      </c>
      <c r="B172" s="98"/>
      <c r="C172" s="99"/>
      <c r="D172" s="100" t="s">
        <v>208</v>
      </c>
      <c r="E172" s="72"/>
      <c r="F172" s="72"/>
      <c r="G172" s="72"/>
      <c r="H172" s="73"/>
      <c r="I172" s="101"/>
      <c r="J172" s="92">
        <f>I172*B172</f>
        <v>0</v>
      </c>
      <c r="K172" s="102"/>
      <c r="L172" s="7"/>
      <c r="M172" s="77"/>
      <c r="N172" s="6"/>
      <c r="O172" s="6"/>
      <c r="P172" s="7"/>
    </row>
    <row r="173" ht="12.0" customHeight="1">
      <c r="B173" s="78"/>
      <c r="C173" s="79"/>
      <c r="D173" s="80"/>
      <c r="E173" s="65"/>
      <c r="F173" s="65"/>
      <c r="G173" s="65"/>
      <c r="H173" s="81"/>
      <c r="I173" s="79"/>
      <c r="J173" s="65"/>
      <c r="K173" s="46"/>
      <c r="L173" s="63"/>
      <c r="M173" s="46"/>
      <c r="N173" s="15"/>
      <c r="O173" s="15"/>
      <c r="P173" s="63"/>
    </row>
    <row r="174" ht="12.0" customHeight="1">
      <c r="A174" s="68">
        <v>46.0</v>
      </c>
      <c r="B174" s="98"/>
      <c r="C174" s="99"/>
      <c r="D174" s="100" t="s">
        <v>208</v>
      </c>
      <c r="E174" s="72"/>
      <c r="F174" s="72"/>
      <c r="G174" s="72"/>
      <c r="H174" s="73"/>
      <c r="I174" s="101"/>
      <c r="J174" s="92">
        <f>I174*B174</f>
        <v>0</v>
      </c>
      <c r="K174" s="102"/>
      <c r="L174" s="7"/>
      <c r="M174" s="77"/>
      <c r="N174" s="6"/>
      <c r="O174" s="6"/>
      <c r="P174" s="7"/>
    </row>
    <row r="175" ht="12.0" customHeight="1">
      <c r="B175" s="78"/>
      <c r="C175" s="79"/>
      <c r="D175" s="80"/>
      <c r="E175" s="65"/>
      <c r="F175" s="65"/>
      <c r="G175" s="65"/>
      <c r="H175" s="81"/>
      <c r="I175" s="79"/>
      <c r="J175" s="65"/>
      <c r="K175" s="46"/>
      <c r="L175" s="63"/>
      <c r="M175" s="46"/>
      <c r="N175" s="15"/>
      <c r="O175" s="15"/>
      <c r="P175" s="63"/>
    </row>
    <row r="176" ht="12.0" customHeight="1">
      <c r="A176" s="68">
        <v>47.0</v>
      </c>
      <c r="B176" s="98"/>
      <c r="C176" s="99"/>
      <c r="D176" s="100" t="s">
        <v>208</v>
      </c>
      <c r="E176" s="72"/>
      <c r="F176" s="72"/>
      <c r="G176" s="72"/>
      <c r="H176" s="73"/>
      <c r="I176" s="101"/>
      <c r="J176" s="92">
        <f>I176*B176</f>
        <v>0</v>
      </c>
      <c r="K176" s="102"/>
      <c r="L176" s="7"/>
      <c r="M176" s="77"/>
      <c r="N176" s="6"/>
      <c r="O176" s="6"/>
      <c r="P176" s="7"/>
    </row>
    <row r="177" ht="12.0" customHeight="1">
      <c r="B177" s="78"/>
      <c r="C177" s="79"/>
      <c r="D177" s="80"/>
      <c r="E177" s="65"/>
      <c r="F177" s="65"/>
      <c r="G177" s="65"/>
      <c r="H177" s="81"/>
      <c r="I177" s="79"/>
      <c r="J177" s="65"/>
      <c r="K177" s="46"/>
      <c r="L177" s="63"/>
      <c r="M177" s="46"/>
      <c r="N177" s="15"/>
      <c r="O177" s="15"/>
      <c r="P177" s="63"/>
    </row>
    <row r="178" ht="12.0" customHeight="1">
      <c r="A178" s="68">
        <v>48.0</v>
      </c>
      <c r="B178" s="98"/>
      <c r="C178" s="99"/>
      <c r="D178" s="100" t="s">
        <v>208</v>
      </c>
      <c r="E178" s="72"/>
      <c r="F178" s="72"/>
      <c r="G178" s="72"/>
      <c r="H178" s="73"/>
      <c r="I178" s="101"/>
      <c r="J178" s="92">
        <f>I178*B178</f>
        <v>0</v>
      </c>
      <c r="K178" s="102"/>
      <c r="L178" s="7"/>
      <c r="M178" s="77"/>
      <c r="N178" s="6"/>
      <c r="O178" s="6"/>
      <c r="P178" s="7"/>
    </row>
    <row r="179" ht="12.0" customHeight="1">
      <c r="B179" s="78"/>
      <c r="C179" s="79"/>
      <c r="D179" s="80"/>
      <c r="E179" s="65"/>
      <c r="F179" s="65"/>
      <c r="G179" s="65"/>
      <c r="H179" s="81"/>
      <c r="I179" s="79"/>
      <c r="J179" s="65"/>
      <c r="K179" s="46"/>
      <c r="L179" s="63"/>
      <c r="M179" s="46"/>
      <c r="N179" s="15"/>
      <c r="O179" s="15"/>
      <c r="P179" s="63"/>
    </row>
    <row r="180" ht="12.0" customHeight="1">
      <c r="A180" s="68">
        <v>49.0</v>
      </c>
      <c r="B180" s="98"/>
      <c r="C180" s="99"/>
      <c r="D180" s="100" t="s">
        <v>208</v>
      </c>
      <c r="E180" s="72"/>
      <c r="F180" s="72"/>
      <c r="G180" s="72"/>
      <c r="H180" s="73"/>
      <c r="I180" s="101"/>
      <c r="J180" s="92">
        <f>I180*B180</f>
        <v>0</v>
      </c>
      <c r="K180" s="102"/>
      <c r="L180" s="7"/>
      <c r="M180" s="77"/>
      <c r="N180" s="6"/>
      <c r="O180" s="6"/>
      <c r="P180" s="7"/>
    </row>
    <row r="181" ht="12.0" customHeight="1">
      <c r="B181" s="78"/>
      <c r="C181" s="79"/>
      <c r="D181" s="80"/>
      <c r="E181" s="65"/>
      <c r="F181" s="65"/>
      <c r="G181" s="65"/>
      <c r="H181" s="81"/>
      <c r="I181" s="79"/>
      <c r="J181" s="65"/>
      <c r="K181" s="46"/>
      <c r="L181" s="63"/>
      <c r="M181" s="46"/>
      <c r="N181" s="15"/>
      <c r="O181" s="15"/>
      <c r="P181" s="63"/>
    </row>
    <row r="182" ht="12.0" customHeight="1">
      <c r="A182" s="68">
        <v>50.0</v>
      </c>
      <c r="B182" s="98"/>
      <c r="C182" s="99"/>
      <c r="D182" s="100" t="s">
        <v>208</v>
      </c>
      <c r="E182" s="72"/>
      <c r="F182" s="72"/>
      <c r="G182" s="72"/>
      <c r="H182" s="73"/>
      <c r="I182" s="101"/>
      <c r="J182" s="92">
        <f>I182*B182</f>
        <v>0</v>
      </c>
      <c r="K182" s="102"/>
      <c r="L182" s="7"/>
      <c r="M182" s="77"/>
      <c r="N182" s="6"/>
      <c r="O182" s="6"/>
      <c r="P182" s="7"/>
    </row>
    <row r="183" ht="12.0" customHeight="1">
      <c r="B183" s="78"/>
      <c r="C183" s="79"/>
      <c r="D183" s="80"/>
      <c r="E183" s="65"/>
      <c r="F183" s="65"/>
      <c r="G183" s="65"/>
      <c r="H183" s="81"/>
      <c r="I183" s="79"/>
      <c r="J183" s="65"/>
      <c r="K183" s="46"/>
      <c r="L183" s="63"/>
      <c r="M183" s="46"/>
      <c r="N183" s="15"/>
      <c r="O183" s="15"/>
      <c r="P183" s="63"/>
    </row>
    <row r="184" ht="12.0" customHeight="1">
      <c r="A184" s="68">
        <v>51.0</v>
      </c>
      <c r="B184" s="98"/>
      <c r="C184" s="99"/>
      <c r="D184" s="100" t="s">
        <v>208</v>
      </c>
      <c r="E184" s="72"/>
      <c r="F184" s="72"/>
      <c r="G184" s="72"/>
      <c r="H184" s="73"/>
      <c r="I184" s="101"/>
      <c r="J184" s="92">
        <f>I184*B184</f>
        <v>0</v>
      </c>
      <c r="K184" s="102"/>
      <c r="L184" s="7"/>
      <c r="M184" s="77"/>
      <c r="N184" s="6"/>
      <c r="O184" s="6"/>
      <c r="P184" s="7"/>
    </row>
    <row r="185" ht="12.0" customHeight="1">
      <c r="B185" s="78"/>
      <c r="C185" s="79"/>
      <c r="D185" s="80"/>
      <c r="E185" s="65"/>
      <c r="F185" s="65"/>
      <c r="G185" s="65"/>
      <c r="H185" s="81"/>
      <c r="I185" s="79"/>
      <c r="J185" s="65"/>
      <c r="K185" s="46"/>
      <c r="L185" s="63"/>
      <c r="M185" s="46"/>
      <c r="N185" s="15"/>
      <c r="O185" s="15"/>
      <c r="P185" s="63"/>
    </row>
    <row r="186" ht="12.0" customHeight="1">
      <c r="A186" s="68">
        <v>52.0</v>
      </c>
      <c r="B186" s="98"/>
      <c r="C186" s="99"/>
      <c r="D186" s="100" t="s">
        <v>208</v>
      </c>
      <c r="E186" s="72"/>
      <c r="F186" s="72"/>
      <c r="G186" s="72"/>
      <c r="H186" s="73"/>
      <c r="I186" s="101"/>
      <c r="J186" s="92">
        <f>I186*B186</f>
        <v>0</v>
      </c>
      <c r="K186" s="102"/>
      <c r="L186" s="7"/>
      <c r="M186" s="77"/>
      <c r="N186" s="6"/>
      <c r="O186" s="6"/>
      <c r="P186" s="7"/>
    </row>
    <row r="187" ht="12.0" customHeight="1">
      <c r="B187" s="78"/>
      <c r="C187" s="79"/>
      <c r="D187" s="80"/>
      <c r="E187" s="65"/>
      <c r="F187" s="65"/>
      <c r="G187" s="65"/>
      <c r="H187" s="81"/>
      <c r="I187" s="79"/>
      <c r="J187" s="65"/>
      <c r="K187" s="46"/>
      <c r="L187" s="63"/>
      <c r="M187" s="46"/>
      <c r="N187" s="15"/>
      <c r="O187" s="15"/>
      <c r="P187" s="63"/>
    </row>
    <row r="188" ht="12.0" customHeight="1">
      <c r="A188" s="68">
        <v>53.0</v>
      </c>
      <c r="B188" s="98"/>
      <c r="C188" s="99"/>
      <c r="D188" s="100" t="s">
        <v>208</v>
      </c>
      <c r="E188" s="72"/>
      <c r="F188" s="72"/>
      <c r="G188" s="72"/>
      <c r="H188" s="73"/>
      <c r="I188" s="101"/>
      <c r="J188" s="92">
        <f>I188*B188</f>
        <v>0</v>
      </c>
      <c r="K188" s="102"/>
      <c r="L188" s="7"/>
      <c r="M188" s="77"/>
      <c r="N188" s="6"/>
      <c r="O188" s="6"/>
      <c r="P188" s="7"/>
    </row>
    <row r="189" ht="12.0" customHeight="1">
      <c r="B189" s="78"/>
      <c r="C189" s="79"/>
      <c r="D189" s="80"/>
      <c r="E189" s="65"/>
      <c r="F189" s="65"/>
      <c r="G189" s="65"/>
      <c r="H189" s="81"/>
      <c r="I189" s="79"/>
      <c r="J189" s="65"/>
      <c r="K189" s="46"/>
      <c r="L189" s="63"/>
      <c r="M189" s="46"/>
      <c r="N189" s="15"/>
      <c r="O189" s="15"/>
      <c r="P189" s="63"/>
    </row>
    <row r="190" ht="12.0" customHeight="1">
      <c r="A190" s="68">
        <v>54.0</v>
      </c>
      <c r="B190" s="98"/>
      <c r="C190" s="99"/>
      <c r="D190" s="100" t="s">
        <v>208</v>
      </c>
      <c r="E190" s="72"/>
      <c r="F190" s="72"/>
      <c r="G190" s="72"/>
      <c r="H190" s="73"/>
      <c r="I190" s="101"/>
      <c r="J190" s="92">
        <f>I190*B190</f>
        <v>0</v>
      </c>
      <c r="K190" s="102"/>
      <c r="L190" s="7"/>
      <c r="M190" s="77"/>
      <c r="N190" s="6"/>
      <c r="O190" s="6"/>
      <c r="P190" s="7"/>
    </row>
    <row r="191" ht="12.0" customHeight="1">
      <c r="B191" s="78"/>
      <c r="C191" s="79"/>
      <c r="D191" s="80"/>
      <c r="E191" s="65"/>
      <c r="F191" s="65"/>
      <c r="G191" s="65"/>
      <c r="H191" s="81"/>
      <c r="I191" s="79"/>
      <c r="J191" s="65"/>
      <c r="K191" s="46"/>
      <c r="L191" s="63"/>
      <c r="M191" s="46"/>
      <c r="N191" s="15"/>
      <c r="O191" s="15"/>
      <c r="P191" s="63"/>
    </row>
    <row r="192" ht="12.0" customHeight="1">
      <c r="A192" s="68">
        <v>55.0</v>
      </c>
      <c r="B192" s="98"/>
      <c r="C192" s="99"/>
      <c r="D192" s="100" t="s">
        <v>208</v>
      </c>
      <c r="E192" s="72"/>
      <c r="F192" s="72"/>
      <c r="G192" s="72"/>
      <c r="H192" s="73"/>
      <c r="I192" s="101"/>
      <c r="J192" s="92">
        <f>I192*B192</f>
        <v>0</v>
      </c>
      <c r="K192" s="102"/>
      <c r="L192" s="7"/>
      <c r="M192" s="77"/>
      <c r="N192" s="6"/>
      <c r="O192" s="6"/>
      <c r="P192" s="7"/>
    </row>
    <row r="193" ht="12.0" customHeight="1">
      <c r="B193" s="78"/>
      <c r="C193" s="79"/>
      <c r="D193" s="80"/>
      <c r="E193" s="65"/>
      <c r="F193" s="65"/>
      <c r="G193" s="65"/>
      <c r="H193" s="81"/>
      <c r="I193" s="79"/>
      <c r="J193" s="65"/>
      <c r="K193" s="46"/>
      <c r="L193" s="63"/>
      <c r="M193" s="46"/>
      <c r="N193" s="15"/>
      <c r="O193" s="15"/>
      <c r="P193" s="63"/>
    </row>
    <row r="194" ht="12.0" customHeight="1">
      <c r="A194" s="68">
        <v>56.0</v>
      </c>
      <c r="B194" s="98"/>
      <c r="C194" s="99"/>
      <c r="D194" s="100" t="s">
        <v>208</v>
      </c>
      <c r="E194" s="72"/>
      <c r="F194" s="72"/>
      <c r="G194" s="72"/>
      <c r="H194" s="73"/>
      <c r="I194" s="101"/>
      <c r="J194" s="92">
        <f>I194*B194</f>
        <v>0</v>
      </c>
      <c r="K194" s="102"/>
      <c r="L194" s="7"/>
      <c r="M194" s="77"/>
      <c r="N194" s="6"/>
      <c r="O194" s="6"/>
      <c r="P194" s="7"/>
    </row>
    <row r="195" ht="12.0" customHeight="1">
      <c r="B195" s="78"/>
      <c r="C195" s="79"/>
      <c r="D195" s="80"/>
      <c r="E195" s="65"/>
      <c r="F195" s="65"/>
      <c r="G195" s="65"/>
      <c r="H195" s="81"/>
      <c r="I195" s="79"/>
      <c r="J195" s="65"/>
      <c r="K195" s="46"/>
      <c r="L195" s="63"/>
      <c r="M195" s="46"/>
      <c r="N195" s="15"/>
      <c r="O195" s="15"/>
      <c r="P195" s="63"/>
    </row>
    <row r="196" ht="12.0" customHeight="1">
      <c r="A196" s="68">
        <v>57.0</v>
      </c>
      <c r="B196" s="98"/>
      <c r="C196" s="99"/>
      <c r="D196" s="100" t="s">
        <v>208</v>
      </c>
      <c r="E196" s="72"/>
      <c r="F196" s="72"/>
      <c r="G196" s="72"/>
      <c r="H196" s="73"/>
      <c r="I196" s="101"/>
      <c r="J196" s="92">
        <f>I196*B196</f>
        <v>0</v>
      </c>
      <c r="K196" s="102"/>
      <c r="L196" s="7"/>
      <c r="M196" s="77"/>
      <c r="N196" s="6"/>
      <c r="O196" s="6"/>
      <c r="P196" s="7"/>
    </row>
    <row r="197" ht="12.0" customHeight="1">
      <c r="B197" s="78"/>
      <c r="C197" s="79"/>
      <c r="D197" s="80"/>
      <c r="E197" s="65"/>
      <c r="F197" s="65"/>
      <c r="G197" s="65"/>
      <c r="H197" s="81"/>
      <c r="I197" s="79"/>
      <c r="J197" s="65"/>
      <c r="K197" s="46"/>
      <c r="L197" s="63"/>
      <c r="M197" s="46"/>
      <c r="N197" s="15"/>
      <c r="O197" s="15"/>
      <c r="P197" s="63"/>
    </row>
    <row r="198" ht="12.0" customHeight="1">
      <c r="A198" s="68">
        <v>58.0</v>
      </c>
      <c r="B198" s="98"/>
      <c r="C198" s="99"/>
      <c r="D198" s="100" t="s">
        <v>208</v>
      </c>
      <c r="E198" s="72"/>
      <c r="F198" s="72"/>
      <c r="G198" s="72"/>
      <c r="H198" s="73"/>
      <c r="I198" s="101"/>
      <c r="J198" s="92">
        <f>I198*B198</f>
        <v>0</v>
      </c>
      <c r="K198" s="102"/>
      <c r="L198" s="7"/>
      <c r="M198" s="77"/>
      <c r="N198" s="6"/>
      <c r="O198" s="6"/>
      <c r="P198" s="7"/>
    </row>
    <row r="199" ht="12.0" customHeight="1">
      <c r="B199" s="78"/>
      <c r="C199" s="79"/>
      <c r="D199" s="80"/>
      <c r="E199" s="65"/>
      <c r="F199" s="65"/>
      <c r="G199" s="65"/>
      <c r="H199" s="81"/>
      <c r="I199" s="79"/>
      <c r="J199" s="65"/>
      <c r="K199" s="46"/>
      <c r="L199" s="63"/>
      <c r="M199" s="46"/>
      <c r="N199" s="15"/>
      <c r="O199" s="15"/>
      <c r="P199" s="63"/>
    </row>
    <row r="200" ht="12.0" customHeight="1">
      <c r="A200" s="68">
        <v>59.0</v>
      </c>
      <c r="B200" s="98"/>
      <c r="C200" s="99"/>
      <c r="D200" s="100" t="s">
        <v>208</v>
      </c>
      <c r="E200" s="72"/>
      <c r="F200" s="72"/>
      <c r="G200" s="72"/>
      <c r="H200" s="73"/>
      <c r="I200" s="101"/>
      <c r="J200" s="92">
        <f>I200*B200</f>
        <v>0</v>
      </c>
      <c r="K200" s="102"/>
      <c r="L200" s="7"/>
      <c r="M200" s="77"/>
      <c r="N200" s="6"/>
      <c r="O200" s="6"/>
      <c r="P200" s="7"/>
    </row>
    <row r="201" ht="12.0" customHeight="1">
      <c r="B201" s="78"/>
      <c r="C201" s="79"/>
      <c r="D201" s="80"/>
      <c r="E201" s="65"/>
      <c r="F201" s="65"/>
      <c r="G201" s="65"/>
      <c r="H201" s="81"/>
      <c r="I201" s="79"/>
      <c r="J201" s="65"/>
      <c r="K201" s="46"/>
      <c r="L201" s="63"/>
      <c r="M201" s="46"/>
      <c r="N201" s="15"/>
      <c r="O201" s="15"/>
      <c r="P201" s="63"/>
    </row>
    <row r="202" ht="12.0" customHeight="1">
      <c r="A202" s="68">
        <v>60.0</v>
      </c>
      <c r="B202" s="98"/>
      <c r="C202" s="99"/>
      <c r="D202" s="100" t="s">
        <v>208</v>
      </c>
      <c r="E202" s="72"/>
      <c r="F202" s="72"/>
      <c r="G202" s="72"/>
      <c r="H202" s="73"/>
      <c r="I202" s="101"/>
      <c r="J202" s="92">
        <f>I202*B202</f>
        <v>0</v>
      </c>
      <c r="K202" s="102"/>
      <c r="L202" s="7"/>
      <c r="M202" s="77"/>
      <c r="N202" s="6"/>
      <c r="O202" s="6"/>
      <c r="P202" s="7"/>
    </row>
    <row r="203" ht="12.0" customHeight="1">
      <c r="B203" s="78"/>
      <c r="C203" s="79"/>
      <c r="D203" s="80"/>
      <c r="E203" s="65"/>
      <c r="F203" s="65"/>
      <c r="G203" s="65"/>
      <c r="H203" s="81"/>
      <c r="I203" s="79"/>
      <c r="J203" s="65"/>
      <c r="K203" s="46"/>
      <c r="L203" s="63"/>
      <c r="M203" s="46"/>
      <c r="N203" s="15"/>
      <c r="O203" s="15"/>
      <c r="P203" s="63"/>
    </row>
    <row r="204" ht="12.0" customHeight="1">
      <c r="A204" s="68">
        <v>61.0</v>
      </c>
      <c r="B204" s="98"/>
      <c r="C204" s="99"/>
      <c r="D204" s="100" t="s">
        <v>208</v>
      </c>
      <c r="E204" s="72"/>
      <c r="F204" s="72"/>
      <c r="G204" s="72"/>
      <c r="H204" s="73"/>
      <c r="I204" s="101"/>
      <c r="J204" s="92">
        <f>I204*B204</f>
        <v>0</v>
      </c>
      <c r="K204" s="102"/>
      <c r="L204" s="7"/>
      <c r="M204" s="77"/>
      <c r="N204" s="6"/>
      <c r="O204" s="6"/>
      <c r="P204" s="7"/>
    </row>
    <row r="205" ht="12.0" customHeight="1">
      <c r="B205" s="78"/>
      <c r="C205" s="79"/>
      <c r="D205" s="80"/>
      <c r="E205" s="65"/>
      <c r="F205" s="65"/>
      <c r="G205" s="65"/>
      <c r="H205" s="81"/>
      <c r="I205" s="79"/>
      <c r="J205" s="65"/>
      <c r="K205" s="46"/>
      <c r="L205" s="63"/>
      <c r="M205" s="46"/>
      <c r="N205" s="15"/>
      <c r="O205" s="15"/>
      <c r="P205" s="63"/>
    </row>
    <row r="206" ht="12.0" customHeight="1">
      <c r="A206" s="68">
        <v>62.0</v>
      </c>
      <c r="B206" s="98"/>
      <c r="C206" s="99"/>
      <c r="D206" s="100" t="s">
        <v>208</v>
      </c>
      <c r="E206" s="72"/>
      <c r="F206" s="72"/>
      <c r="G206" s="72"/>
      <c r="H206" s="73"/>
      <c r="I206" s="101"/>
      <c r="J206" s="92">
        <f>I206*B206</f>
        <v>0</v>
      </c>
      <c r="K206" s="102"/>
      <c r="L206" s="7"/>
      <c r="M206" s="77"/>
      <c r="N206" s="6"/>
      <c r="O206" s="6"/>
      <c r="P206" s="7"/>
    </row>
    <row r="207" ht="12.0" customHeight="1">
      <c r="B207" s="78"/>
      <c r="C207" s="79"/>
      <c r="D207" s="80"/>
      <c r="E207" s="65"/>
      <c r="F207" s="65"/>
      <c r="G207" s="65"/>
      <c r="H207" s="81"/>
      <c r="I207" s="79"/>
      <c r="J207" s="65"/>
      <c r="K207" s="46"/>
      <c r="L207" s="63"/>
      <c r="M207" s="46"/>
      <c r="N207" s="15"/>
      <c r="O207" s="15"/>
      <c r="P207" s="63"/>
    </row>
    <row r="208" ht="12.0" customHeight="1">
      <c r="A208" s="68">
        <v>63.0</v>
      </c>
      <c r="B208" s="98"/>
      <c r="C208" s="99"/>
      <c r="D208" s="100" t="s">
        <v>208</v>
      </c>
      <c r="E208" s="72"/>
      <c r="F208" s="72"/>
      <c r="G208" s="72"/>
      <c r="H208" s="73"/>
      <c r="I208" s="101"/>
      <c r="J208" s="92">
        <f>I208*B208</f>
        <v>0</v>
      </c>
      <c r="K208" s="102"/>
      <c r="L208" s="7"/>
      <c r="M208" s="77"/>
      <c r="N208" s="6"/>
      <c r="O208" s="6"/>
      <c r="P208" s="7"/>
    </row>
    <row r="209" ht="12.0" customHeight="1">
      <c r="B209" s="78"/>
      <c r="C209" s="79"/>
      <c r="D209" s="80"/>
      <c r="E209" s="65"/>
      <c r="F209" s="65"/>
      <c r="G209" s="65"/>
      <c r="H209" s="81"/>
      <c r="I209" s="79"/>
      <c r="J209" s="65"/>
      <c r="K209" s="46"/>
      <c r="L209" s="63"/>
      <c r="M209" s="46"/>
      <c r="N209" s="15"/>
      <c r="O209" s="15"/>
      <c r="P209" s="63"/>
    </row>
    <row r="210" ht="12.0" customHeight="1">
      <c r="A210" s="68">
        <v>64.0</v>
      </c>
      <c r="B210" s="98"/>
      <c r="C210" s="99"/>
      <c r="D210" s="100" t="s">
        <v>208</v>
      </c>
      <c r="E210" s="72"/>
      <c r="F210" s="72"/>
      <c r="G210" s="72"/>
      <c r="H210" s="73"/>
      <c r="I210" s="101"/>
      <c r="J210" s="92">
        <f>I210*B210</f>
        <v>0</v>
      </c>
      <c r="K210" s="102"/>
      <c r="L210" s="7"/>
      <c r="M210" s="77"/>
      <c r="N210" s="6"/>
      <c r="O210" s="6"/>
      <c r="P210" s="7"/>
    </row>
    <row r="211" ht="12.0" customHeight="1">
      <c r="B211" s="78"/>
      <c r="C211" s="79"/>
      <c r="D211" s="80"/>
      <c r="E211" s="65"/>
      <c r="F211" s="65"/>
      <c r="G211" s="65"/>
      <c r="H211" s="81"/>
      <c r="I211" s="79"/>
      <c r="J211" s="65"/>
      <c r="K211" s="46"/>
      <c r="L211" s="63"/>
      <c r="M211" s="46"/>
      <c r="N211" s="15"/>
      <c r="O211" s="15"/>
      <c r="P211" s="63"/>
    </row>
    <row r="212" ht="12.0" customHeight="1">
      <c r="A212" s="68">
        <v>65.0</v>
      </c>
      <c r="B212" s="98"/>
      <c r="C212" s="99"/>
      <c r="D212" s="100" t="s">
        <v>208</v>
      </c>
      <c r="E212" s="72"/>
      <c r="F212" s="72"/>
      <c r="G212" s="72"/>
      <c r="H212" s="73"/>
      <c r="I212" s="101"/>
      <c r="J212" s="92">
        <f>I212*B212</f>
        <v>0</v>
      </c>
      <c r="K212" s="102"/>
      <c r="L212" s="7"/>
      <c r="M212" s="77"/>
      <c r="N212" s="6"/>
      <c r="O212" s="6"/>
      <c r="P212" s="7"/>
    </row>
    <row r="213" ht="12.0" customHeight="1">
      <c r="B213" s="78"/>
      <c r="C213" s="79"/>
      <c r="D213" s="80"/>
      <c r="E213" s="65"/>
      <c r="F213" s="65"/>
      <c r="G213" s="65"/>
      <c r="H213" s="81"/>
      <c r="I213" s="79"/>
      <c r="J213" s="65"/>
      <c r="K213" s="46"/>
      <c r="L213" s="63"/>
      <c r="M213" s="46"/>
      <c r="N213" s="15"/>
      <c r="O213" s="15"/>
      <c r="P213" s="63"/>
    </row>
    <row r="214" ht="12.0" customHeight="1">
      <c r="A214" s="68">
        <v>66.0</v>
      </c>
      <c r="B214" s="98"/>
      <c r="C214" s="99"/>
      <c r="D214" s="100" t="s">
        <v>208</v>
      </c>
      <c r="E214" s="72"/>
      <c r="F214" s="72"/>
      <c r="G214" s="72"/>
      <c r="H214" s="73"/>
      <c r="I214" s="101"/>
      <c r="J214" s="92">
        <f>I214*B214</f>
        <v>0</v>
      </c>
      <c r="K214" s="102"/>
      <c r="L214" s="7"/>
      <c r="M214" s="77"/>
      <c r="N214" s="6"/>
      <c r="O214" s="6"/>
      <c r="P214" s="7"/>
    </row>
    <row r="215" ht="12.0" customHeight="1">
      <c r="B215" s="78"/>
      <c r="C215" s="79"/>
      <c r="D215" s="80"/>
      <c r="E215" s="65"/>
      <c r="F215" s="65"/>
      <c r="G215" s="65"/>
      <c r="H215" s="81"/>
      <c r="I215" s="79"/>
      <c r="J215" s="65"/>
      <c r="K215" s="46"/>
      <c r="L215" s="63"/>
      <c r="M215" s="46"/>
      <c r="N215" s="15"/>
      <c r="O215" s="15"/>
      <c r="P215" s="63"/>
    </row>
    <row r="216" ht="12.0" customHeight="1">
      <c r="A216" s="68">
        <v>67.0</v>
      </c>
      <c r="B216" s="98"/>
      <c r="C216" s="99"/>
      <c r="D216" s="100" t="s">
        <v>208</v>
      </c>
      <c r="E216" s="72"/>
      <c r="F216" s="72"/>
      <c r="G216" s="72"/>
      <c r="H216" s="73"/>
      <c r="I216" s="101"/>
      <c r="J216" s="92">
        <f>I216*B216</f>
        <v>0</v>
      </c>
      <c r="K216" s="102"/>
      <c r="L216" s="7"/>
      <c r="M216" s="77"/>
      <c r="N216" s="6"/>
      <c r="O216" s="6"/>
      <c r="P216" s="7"/>
    </row>
    <row r="217" ht="12.0" customHeight="1">
      <c r="B217" s="78"/>
      <c r="C217" s="79"/>
      <c r="D217" s="80"/>
      <c r="E217" s="65"/>
      <c r="F217" s="65"/>
      <c r="G217" s="65"/>
      <c r="H217" s="81"/>
      <c r="I217" s="79"/>
      <c r="J217" s="65"/>
      <c r="K217" s="46"/>
      <c r="L217" s="63"/>
      <c r="M217" s="46"/>
      <c r="N217" s="15"/>
      <c r="O217" s="15"/>
      <c r="P217" s="63"/>
    </row>
    <row r="218" ht="12.0" customHeight="1">
      <c r="A218" s="68">
        <v>68.0</v>
      </c>
      <c r="B218" s="98"/>
      <c r="C218" s="99"/>
      <c r="D218" s="100" t="s">
        <v>208</v>
      </c>
      <c r="E218" s="72"/>
      <c r="F218" s="72"/>
      <c r="G218" s="72"/>
      <c r="H218" s="73"/>
      <c r="I218" s="101"/>
      <c r="J218" s="92">
        <f>I218*B218</f>
        <v>0</v>
      </c>
      <c r="K218" s="102"/>
      <c r="L218" s="7"/>
      <c r="M218" s="77"/>
      <c r="N218" s="6"/>
      <c r="O218" s="6"/>
      <c r="P218" s="7"/>
    </row>
    <row r="219" ht="12.0" customHeight="1">
      <c r="B219" s="78"/>
      <c r="C219" s="79"/>
      <c r="D219" s="80"/>
      <c r="E219" s="65"/>
      <c r="F219" s="65"/>
      <c r="G219" s="65"/>
      <c r="H219" s="81"/>
      <c r="I219" s="79"/>
      <c r="J219" s="65"/>
      <c r="K219" s="46"/>
      <c r="L219" s="63"/>
      <c r="M219" s="46"/>
      <c r="N219" s="15"/>
      <c r="O219" s="15"/>
      <c r="P219" s="63"/>
    </row>
    <row r="220" ht="12.0" customHeight="1">
      <c r="A220" s="68">
        <v>69.0</v>
      </c>
      <c r="B220" s="98"/>
      <c r="C220" s="99"/>
      <c r="D220" s="100" t="s">
        <v>208</v>
      </c>
      <c r="E220" s="72"/>
      <c r="F220" s="72"/>
      <c r="G220" s="72"/>
      <c r="H220" s="73"/>
      <c r="I220" s="101"/>
      <c r="J220" s="92">
        <f>I220*B220</f>
        <v>0</v>
      </c>
      <c r="K220" s="102"/>
      <c r="L220" s="7"/>
      <c r="M220" s="77"/>
      <c r="N220" s="6"/>
      <c r="O220" s="6"/>
      <c r="P220" s="7"/>
    </row>
    <row r="221" ht="12.0" customHeight="1">
      <c r="B221" s="78"/>
      <c r="C221" s="79"/>
      <c r="D221" s="80"/>
      <c r="E221" s="65"/>
      <c r="F221" s="65"/>
      <c r="G221" s="65"/>
      <c r="H221" s="81"/>
      <c r="I221" s="79"/>
      <c r="J221" s="65"/>
      <c r="K221" s="46"/>
      <c r="L221" s="63"/>
      <c r="M221" s="46"/>
      <c r="N221" s="15"/>
      <c r="O221" s="15"/>
      <c r="P221" s="63"/>
    </row>
    <row r="222" ht="12.0" customHeight="1">
      <c r="A222" s="68">
        <v>70.0</v>
      </c>
      <c r="B222" s="98"/>
      <c r="C222" s="99"/>
      <c r="D222" s="100" t="s">
        <v>208</v>
      </c>
      <c r="E222" s="72"/>
      <c r="F222" s="72"/>
      <c r="G222" s="72"/>
      <c r="H222" s="73"/>
      <c r="I222" s="101"/>
      <c r="J222" s="92">
        <f>I222*B222</f>
        <v>0</v>
      </c>
      <c r="K222" s="102"/>
      <c r="L222" s="7"/>
      <c r="M222" s="77"/>
      <c r="N222" s="6"/>
      <c r="O222" s="6"/>
      <c r="P222" s="7"/>
    </row>
    <row r="223" ht="12.0" customHeight="1">
      <c r="B223" s="78"/>
      <c r="C223" s="79"/>
      <c r="D223" s="80"/>
      <c r="E223" s="65"/>
      <c r="F223" s="65"/>
      <c r="G223" s="65"/>
      <c r="H223" s="81"/>
      <c r="I223" s="79"/>
      <c r="J223" s="65"/>
      <c r="K223" s="46"/>
      <c r="L223" s="63"/>
      <c r="M223" s="46"/>
      <c r="N223" s="15"/>
      <c r="O223" s="15"/>
      <c r="P223" s="63"/>
    </row>
    <row r="224" ht="12.0" customHeight="1">
      <c r="A224" s="68">
        <v>71.0</v>
      </c>
      <c r="B224" s="98"/>
      <c r="C224" s="99"/>
      <c r="D224" s="100" t="s">
        <v>208</v>
      </c>
      <c r="E224" s="72"/>
      <c r="F224" s="72"/>
      <c r="G224" s="72"/>
      <c r="H224" s="73"/>
      <c r="I224" s="101"/>
      <c r="J224" s="92">
        <f>I224*B224</f>
        <v>0</v>
      </c>
      <c r="K224" s="102"/>
      <c r="L224" s="7"/>
      <c r="M224" s="77"/>
      <c r="N224" s="6"/>
      <c r="O224" s="6"/>
      <c r="P224" s="7"/>
    </row>
    <row r="225" ht="12.0" customHeight="1">
      <c r="B225" s="78"/>
      <c r="C225" s="79"/>
      <c r="D225" s="80"/>
      <c r="E225" s="65"/>
      <c r="F225" s="65"/>
      <c r="G225" s="65"/>
      <c r="H225" s="81"/>
      <c r="I225" s="79"/>
      <c r="J225" s="65"/>
      <c r="K225" s="46"/>
      <c r="L225" s="63"/>
      <c r="M225" s="46"/>
      <c r="N225" s="15"/>
      <c r="O225" s="15"/>
      <c r="P225" s="63"/>
    </row>
    <row r="226" ht="12.0" customHeight="1">
      <c r="A226" s="68">
        <v>72.0</v>
      </c>
      <c r="B226" s="98"/>
      <c r="C226" s="99"/>
      <c r="D226" s="100" t="s">
        <v>208</v>
      </c>
      <c r="E226" s="72"/>
      <c r="F226" s="72"/>
      <c r="G226" s="72"/>
      <c r="H226" s="73"/>
      <c r="I226" s="101"/>
      <c r="J226" s="92">
        <f>I226*B226</f>
        <v>0</v>
      </c>
      <c r="K226" s="102"/>
      <c r="L226" s="7"/>
      <c r="M226" s="77"/>
      <c r="N226" s="6"/>
      <c r="O226" s="6"/>
      <c r="P226" s="7"/>
    </row>
    <row r="227" ht="12.0" customHeight="1">
      <c r="B227" s="78"/>
      <c r="C227" s="79"/>
      <c r="D227" s="80"/>
      <c r="E227" s="65"/>
      <c r="F227" s="65"/>
      <c r="G227" s="65"/>
      <c r="H227" s="81"/>
      <c r="I227" s="79"/>
      <c r="J227" s="65"/>
      <c r="K227" s="46"/>
      <c r="L227" s="63"/>
      <c r="M227" s="46"/>
      <c r="N227" s="15"/>
      <c r="O227" s="15"/>
      <c r="P227" s="63"/>
    </row>
    <row r="228" ht="12.0" customHeight="1">
      <c r="A228" s="68">
        <v>73.0</v>
      </c>
      <c r="B228" s="98"/>
      <c r="C228" s="99"/>
      <c r="D228" s="100" t="s">
        <v>208</v>
      </c>
      <c r="E228" s="72"/>
      <c r="F228" s="72"/>
      <c r="G228" s="72"/>
      <c r="H228" s="73"/>
      <c r="I228" s="101"/>
      <c r="J228" s="92">
        <f>I228*B228</f>
        <v>0</v>
      </c>
      <c r="K228" s="102"/>
      <c r="L228" s="7"/>
      <c r="M228" s="77"/>
      <c r="N228" s="6"/>
      <c r="O228" s="6"/>
      <c r="P228" s="7"/>
    </row>
    <row r="229" ht="12.0" customHeight="1">
      <c r="B229" s="78"/>
      <c r="C229" s="79"/>
      <c r="D229" s="80"/>
      <c r="E229" s="65"/>
      <c r="F229" s="65"/>
      <c r="G229" s="65"/>
      <c r="H229" s="81"/>
      <c r="I229" s="79"/>
      <c r="J229" s="65"/>
      <c r="K229" s="46"/>
      <c r="L229" s="63"/>
      <c r="M229" s="46"/>
      <c r="N229" s="15"/>
      <c r="O229" s="15"/>
      <c r="P229" s="63"/>
    </row>
    <row r="230" ht="12.0" customHeight="1">
      <c r="A230" s="68">
        <v>74.0</v>
      </c>
      <c r="B230" s="98"/>
      <c r="C230" s="99"/>
      <c r="D230" s="100" t="s">
        <v>208</v>
      </c>
      <c r="E230" s="72"/>
      <c r="F230" s="72"/>
      <c r="G230" s="72"/>
      <c r="H230" s="73"/>
      <c r="I230" s="101"/>
      <c r="J230" s="92">
        <f>I230*B230</f>
        <v>0</v>
      </c>
      <c r="K230" s="102"/>
      <c r="L230" s="7"/>
      <c r="M230" s="77"/>
      <c r="N230" s="6"/>
      <c r="O230" s="6"/>
      <c r="P230" s="7"/>
    </row>
    <row r="231" ht="12.0" customHeight="1">
      <c r="B231" s="78"/>
      <c r="C231" s="79"/>
      <c r="D231" s="80"/>
      <c r="E231" s="65"/>
      <c r="F231" s="65"/>
      <c r="G231" s="65"/>
      <c r="H231" s="81"/>
      <c r="I231" s="79"/>
      <c r="J231" s="65"/>
      <c r="K231" s="46"/>
      <c r="L231" s="63"/>
      <c r="M231" s="46"/>
      <c r="N231" s="15"/>
      <c r="O231" s="15"/>
      <c r="P231" s="63"/>
    </row>
    <row r="232" ht="12.0" customHeight="1">
      <c r="A232" s="68">
        <v>75.0</v>
      </c>
      <c r="B232" s="98"/>
      <c r="C232" s="99"/>
      <c r="D232" s="100" t="s">
        <v>208</v>
      </c>
      <c r="E232" s="72"/>
      <c r="F232" s="72"/>
      <c r="G232" s="72"/>
      <c r="H232" s="73"/>
      <c r="I232" s="101"/>
      <c r="J232" s="92">
        <f>I232*B232</f>
        <v>0</v>
      </c>
      <c r="K232" s="102"/>
      <c r="L232" s="7"/>
      <c r="M232" s="77"/>
      <c r="N232" s="6"/>
      <c r="O232" s="6"/>
      <c r="P232" s="7"/>
    </row>
    <row r="233" ht="12.0" customHeight="1">
      <c r="B233" s="78"/>
      <c r="C233" s="79"/>
      <c r="D233" s="80"/>
      <c r="E233" s="65"/>
      <c r="F233" s="65"/>
      <c r="G233" s="65"/>
      <c r="H233" s="81"/>
      <c r="I233" s="79"/>
      <c r="J233" s="65"/>
      <c r="K233" s="46"/>
      <c r="L233" s="63"/>
      <c r="M233" s="46"/>
      <c r="N233" s="15"/>
      <c r="O233" s="15"/>
      <c r="P233" s="63"/>
    </row>
    <row r="234" ht="12.0" customHeight="1">
      <c r="A234" s="68">
        <v>76.0</v>
      </c>
      <c r="B234" s="98"/>
      <c r="C234" s="99"/>
      <c r="D234" s="100" t="s">
        <v>208</v>
      </c>
      <c r="E234" s="72"/>
      <c r="F234" s="72"/>
      <c r="G234" s="72"/>
      <c r="H234" s="73"/>
      <c r="I234" s="101"/>
      <c r="J234" s="92">
        <f>I234*B234</f>
        <v>0</v>
      </c>
      <c r="K234" s="102"/>
      <c r="L234" s="7"/>
      <c r="M234" s="77"/>
      <c r="N234" s="6"/>
      <c r="O234" s="6"/>
      <c r="P234" s="7"/>
    </row>
    <row r="235" ht="12.0" customHeight="1">
      <c r="B235" s="78"/>
      <c r="C235" s="79"/>
      <c r="D235" s="80"/>
      <c r="E235" s="65"/>
      <c r="F235" s="65"/>
      <c r="G235" s="65"/>
      <c r="H235" s="81"/>
      <c r="I235" s="79"/>
      <c r="J235" s="65"/>
      <c r="K235" s="46"/>
      <c r="L235" s="63"/>
      <c r="M235" s="46"/>
      <c r="N235" s="15"/>
      <c r="O235" s="15"/>
      <c r="P235" s="63"/>
    </row>
    <row r="236" ht="12.0" customHeight="1">
      <c r="A236" s="68">
        <v>77.0</v>
      </c>
      <c r="B236" s="98"/>
      <c r="C236" s="99"/>
      <c r="D236" s="100" t="s">
        <v>208</v>
      </c>
      <c r="E236" s="72"/>
      <c r="F236" s="72"/>
      <c r="G236" s="72"/>
      <c r="H236" s="73"/>
      <c r="I236" s="101"/>
      <c r="J236" s="92">
        <f>I236*B236</f>
        <v>0</v>
      </c>
      <c r="K236" s="102"/>
      <c r="L236" s="7"/>
      <c r="M236" s="77"/>
      <c r="N236" s="6"/>
      <c r="O236" s="6"/>
      <c r="P236" s="7"/>
    </row>
    <row r="237" ht="12.0" customHeight="1">
      <c r="B237" s="78"/>
      <c r="C237" s="79"/>
      <c r="D237" s="80"/>
      <c r="E237" s="65"/>
      <c r="F237" s="65"/>
      <c r="G237" s="65"/>
      <c r="H237" s="81"/>
      <c r="I237" s="79"/>
      <c r="J237" s="65"/>
      <c r="K237" s="46"/>
      <c r="L237" s="63"/>
      <c r="M237" s="46"/>
      <c r="N237" s="15"/>
      <c r="O237" s="15"/>
      <c r="P237" s="63"/>
    </row>
    <row r="238" ht="12.0" customHeight="1">
      <c r="A238" s="68">
        <v>78.0</v>
      </c>
      <c r="B238" s="98"/>
      <c r="C238" s="99"/>
      <c r="D238" s="100" t="s">
        <v>208</v>
      </c>
      <c r="E238" s="72"/>
      <c r="F238" s="72"/>
      <c r="G238" s="72"/>
      <c r="H238" s="73"/>
      <c r="I238" s="101"/>
      <c r="J238" s="92">
        <f>I238*B238</f>
        <v>0</v>
      </c>
      <c r="K238" s="102"/>
      <c r="L238" s="7"/>
      <c r="M238" s="77"/>
      <c r="N238" s="6"/>
      <c r="O238" s="6"/>
      <c r="P238" s="7"/>
    </row>
    <row r="239" ht="12.0" customHeight="1">
      <c r="B239" s="78"/>
      <c r="C239" s="79"/>
      <c r="D239" s="80"/>
      <c r="E239" s="65"/>
      <c r="F239" s="65"/>
      <c r="G239" s="65"/>
      <c r="H239" s="81"/>
      <c r="I239" s="79"/>
      <c r="J239" s="65"/>
      <c r="K239" s="46"/>
      <c r="L239" s="63"/>
      <c r="M239" s="46"/>
      <c r="N239" s="15"/>
      <c r="O239" s="15"/>
      <c r="P239" s="63"/>
    </row>
    <row r="240" ht="12.0" customHeight="1">
      <c r="A240" s="68">
        <v>79.0</v>
      </c>
      <c r="B240" s="98"/>
      <c r="C240" s="99"/>
      <c r="D240" s="100" t="s">
        <v>208</v>
      </c>
      <c r="E240" s="72"/>
      <c r="F240" s="72"/>
      <c r="G240" s="72"/>
      <c r="H240" s="73"/>
      <c r="I240" s="101"/>
      <c r="J240" s="92">
        <f>I240*B240</f>
        <v>0</v>
      </c>
      <c r="K240" s="102"/>
      <c r="L240" s="7"/>
      <c r="M240" s="77"/>
      <c r="N240" s="6"/>
      <c r="O240" s="6"/>
      <c r="P240" s="7"/>
    </row>
    <row r="241" ht="12.0" customHeight="1">
      <c r="B241" s="78"/>
      <c r="C241" s="79"/>
      <c r="D241" s="80"/>
      <c r="E241" s="65"/>
      <c r="F241" s="65"/>
      <c r="G241" s="65"/>
      <c r="H241" s="81"/>
      <c r="I241" s="79"/>
      <c r="J241" s="65"/>
      <c r="K241" s="46"/>
      <c r="L241" s="63"/>
      <c r="M241" s="46"/>
      <c r="N241" s="15"/>
      <c r="O241" s="15"/>
      <c r="P241" s="63"/>
    </row>
    <row r="242" ht="12.0" customHeight="1">
      <c r="A242" s="68">
        <v>80.0</v>
      </c>
      <c r="B242" s="98"/>
      <c r="C242" s="99"/>
      <c r="D242" s="100" t="s">
        <v>208</v>
      </c>
      <c r="E242" s="72"/>
      <c r="F242" s="72"/>
      <c r="G242" s="72"/>
      <c r="H242" s="73"/>
      <c r="I242" s="101"/>
      <c r="J242" s="92">
        <f>I242*B242</f>
        <v>0</v>
      </c>
      <c r="K242" s="102"/>
      <c r="L242" s="7"/>
      <c r="M242" s="77"/>
      <c r="N242" s="6"/>
      <c r="O242" s="6"/>
      <c r="P242" s="7"/>
    </row>
    <row r="243" ht="12.0" customHeight="1">
      <c r="B243" s="78"/>
      <c r="C243" s="79"/>
      <c r="D243" s="80"/>
      <c r="E243" s="65"/>
      <c r="F243" s="65"/>
      <c r="G243" s="65"/>
      <c r="H243" s="81"/>
      <c r="I243" s="79"/>
      <c r="J243" s="65"/>
      <c r="K243" s="46"/>
      <c r="L243" s="63"/>
      <c r="M243" s="46"/>
      <c r="N243" s="15"/>
      <c r="O243" s="15"/>
      <c r="P243" s="63"/>
    </row>
    <row r="244" ht="12.0" customHeight="1">
      <c r="A244" s="68">
        <v>81.0</v>
      </c>
      <c r="B244" s="98"/>
      <c r="C244" s="99"/>
      <c r="D244" s="100" t="s">
        <v>208</v>
      </c>
      <c r="E244" s="72"/>
      <c r="F244" s="72"/>
      <c r="G244" s="72"/>
      <c r="H244" s="73"/>
      <c r="I244" s="101"/>
      <c r="J244" s="92">
        <f>I244*B244</f>
        <v>0</v>
      </c>
      <c r="K244" s="102"/>
      <c r="L244" s="7"/>
      <c r="M244" s="77"/>
      <c r="N244" s="6"/>
      <c r="O244" s="6"/>
      <c r="P244" s="7"/>
    </row>
    <row r="245" ht="12.0" customHeight="1">
      <c r="B245" s="78"/>
      <c r="C245" s="79"/>
      <c r="D245" s="80"/>
      <c r="E245" s="65"/>
      <c r="F245" s="65"/>
      <c r="G245" s="65"/>
      <c r="H245" s="81"/>
      <c r="I245" s="79"/>
      <c r="J245" s="65"/>
      <c r="K245" s="46"/>
      <c r="L245" s="63"/>
      <c r="M245" s="46"/>
      <c r="N245" s="15"/>
      <c r="O245" s="15"/>
      <c r="P245" s="63"/>
    </row>
    <row r="246" ht="12.0" customHeight="1">
      <c r="A246" s="68">
        <v>82.0</v>
      </c>
      <c r="B246" s="98"/>
      <c r="C246" s="99"/>
      <c r="D246" s="100" t="s">
        <v>208</v>
      </c>
      <c r="E246" s="72"/>
      <c r="F246" s="72"/>
      <c r="G246" s="72"/>
      <c r="H246" s="73"/>
      <c r="I246" s="101"/>
      <c r="J246" s="92">
        <f>I246*B246</f>
        <v>0</v>
      </c>
      <c r="K246" s="102"/>
      <c r="L246" s="7"/>
      <c r="M246" s="77"/>
      <c r="N246" s="6"/>
      <c r="O246" s="6"/>
      <c r="P246" s="7"/>
    </row>
    <row r="247" ht="12.0" customHeight="1">
      <c r="B247" s="78"/>
      <c r="C247" s="79"/>
      <c r="D247" s="80"/>
      <c r="E247" s="65"/>
      <c r="F247" s="65"/>
      <c r="G247" s="65"/>
      <c r="H247" s="81"/>
      <c r="I247" s="79"/>
      <c r="J247" s="65"/>
      <c r="K247" s="46"/>
      <c r="L247" s="63"/>
      <c r="M247" s="46"/>
      <c r="N247" s="15"/>
      <c r="O247" s="15"/>
      <c r="P247" s="63"/>
    </row>
    <row r="248" ht="12.0" customHeight="1">
      <c r="A248" s="68">
        <v>83.0</v>
      </c>
      <c r="B248" s="98"/>
      <c r="C248" s="99"/>
      <c r="D248" s="100" t="s">
        <v>208</v>
      </c>
      <c r="E248" s="72"/>
      <c r="F248" s="72"/>
      <c r="G248" s="72"/>
      <c r="H248" s="73"/>
      <c r="I248" s="101"/>
      <c r="J248" s="92">
        <f>I248*B248</f>
        <v>0</v>
      </c>
      <c r="K248" s="102"/>
      <c r="L248" s="7"/>
      <c r="M248" s="77"/>
      <c r="N248" s="6"/>
      <c r="O248" s="6"/>
      <c r="P248" s="7"/>
    </row>
    <row r="249" ht="12.0" customHeight="1">
      <c r="B249" s="78"/>
      <c r="C249" s="79"/>
      <c r="D249" s="80"/>
      <c r="E249" s="65"/>
      <c r="F249" s="65"/>
      <c r="G249" s="65"/>
      <c r="H249" s="81"/>
      <c r="I249" s="79"/>
      <c r="J249" s="65"/>
      <c r="K249" s="46"/>
      <c r="L249" s="63"/>
      <c r="M249" s="46"/>
      <c r="N249" s="15"/>
      <c r="O249" s="15"/>
      <c r="P249" s="63"/>
    </row>
    <row r="250" ht="12.0" customHeight="1">
      <c r="A250" s="68">
        <v>84.0</v>
      </c>
      <c r="B250" s="98"/>
      <c r="C250" s="99"/>
      <c r="D250" s="100" t="s">
        <v>208</v>
      </c>
      <c r="E250" s="72"/>
      <c r="F250" s="72"/>
      <c r="G250" s="72"/>
      <c r="H250" s="73"/>
      <c r="I250" s="101"/>
      <c r="J250" s="92">
        <f>I250*B250</f>
        <v>0</v>
      </c>
      <c r="K250" s="102"/>
      <c r="L250" s="7"/>
      <c r="M250" s="77"/>
      <c r="N250" s="6"/>
      <c r="O250" s="6"/>
      <c r="P250" s="7"/>
    </row>
    <row r="251" ht="12.0" customHeight="1">
      <c r="B251" s="78"/>
      <c r="C251" s="79"/>
      <c r="D251" s="80"/>
      <c r="E251" s="65"/>
      <c r="F251" s="65"/>
      <c r="G251" s="65"/>
      <c r="H251" s="81"/>
      <c r="I251" s="79"/>
      <c r="J251" s="65"/>
      <c r="K251" s="46"/>
      <c r="L251" s="63"/>
      <c r="M251" s="46"/>
      <c r="N251" s="15"/>
      <c r="O251" s="15"/>
      <c r="P251" s="63"/>
    </row>
    <row r="252" ht="12.0" customHeight="1">
      <c r="A252" s="68">
        <v>85.0</v>
      </c>
      <c r="B252" s="98"/>
      <c r="C252" s="99"/>
      <c r="D252" s="100" t="s">
        <v>208</v>
      </c>
      <c r="E252" s="72"/>
      <c r="F252" s="72"/>
      <c r="G252" s="72"/>
      <c r="H252" s="73"/>
      <c r="I252" s="101"/>
      <c r="J252" s="92">
        <f>I252*B252</f>
        <v>0</v>
      </c>
      <c r="K252" s="102"/>
      <c r="L252" s="7"/>
      <c r="M252" s="77"/>
      <c r="N252" s="6"/>
      <c r="O252" s="6"/>
      <c r="P252" s="7"/>
    </row>
    <row r="253" ht="12.0" customHeight="1">
      <c r="B253" s="78"/>
      <c r="C253" s="79"/>
      <c r="D253" s="80"/>
      <c r="E253" s="65"/>
      <c r="F253" s="65"/>
      <c r="G253" s="65"/>
      <c r="H253" s="81"/>
      <c r="I253" s="79"/>
      <c r="J253" s="65"/>
      <c r="K253" s="46"/>
      <c r="L253" s="63"/>
      <c r="M253" s="46"/>
      <c r="N253" s="15"/>
      <c r="O253" s="15"/>
      <c r="P253" s="63"/>
    </row>
    <row r="254" ht="12.0" customHeight="1">
      <c r="A254" s="68">
        <v>86.0</v>
      </c>
      <c r="B254" s="98"/>
      <c r="C254" s="99"/>
      <c r="D254" s="100" t="s">
        <v>208</v>
      </c>
      <c r="E254" s="72"/>
      <c r="F254" s="72"/>
      <c r="G254" s="72"/>
      <c r="H254" s="73"/>
      <c r="I254" s="101"/>
      <c r="J254" s="92">
        <f>I254*B254</f>
        <v>0</v>
      </c>
      <c r="K254" s="102"/>
      <c r="L254" s="7"/>
      <c r="M254" s="77"/>
      <c r="N254" s="6"/>
      <c r="O254" s="6"/>
      <c r="P254" s="7"/>
    </row>
    <row r="255" ht="12.0" customHeight="1">
      <c r="B255" s="78"/>
      <c r="C255" s="79"/>
      <c r="D255" s="80"/>
      <c r="E255" s="65"/>
      <c r="F255" s="65"/>
      <c r="G255" s="65"/>
      <c r="H255" s="81"/>
      <c r="I255" s="79"/>
      <c r="J255" s="65"/>
      <c r="K255" s="46"/>
      <c r="L255" s="63"/>
      <c r="M255" s="46"/>
      <c r="N255" s="15"/>
      <c r="O255" s="15"/>
      <c r="P255" s="63"/>
    </row>
    <row r="256" ht="12.0" customHeight="1">
      <c r="A256" s="68">
        <v>87.0</v>
      </c>
      <c r="B256" s="98"/>
      <c r="C256" s="99"/>
      <c r="D256" s="100" t="s">
        <v>208</v>
      </c>
      <c r="E256" s="72"/>
      <c r="F256" s="72"/>
      <c r="G256" s="72"/>
      <c r="H256" s="73"/>
      <c r="I256" s="101"/>
      <c r="J256" s="92">
        <f>I256*B256</f>
        <v>0</v>
      </c>
      <c r="K256" s="102"/>
      <c r="L256" s="7"/>
      <c r="M256" s="77"/>
      <c r="N256" s="6"/>
      <c r="O256" s="6"/>
      <c r="P256" s="7"/>
    </row>
    <row r="257" ht="12.0" customHeight="1">
      <c r="B257" s="78"/>
      <c r="C257" s="79"/>
      <c r="D257" s="80"/>
      <c r="E257" s="65"/>
      <c r="F257" s="65"/>
      <c r="G257" s="65"/>
      <c r="H257" s="81"/>
      <c r="I257" s="79"/>
      <c r="J257" s="65"/>
      <c r="K257" s="46"/>
      <c r="L257" s="63"/>
      <c r="M257" s="46"/>
      <c r="N257" s="15"/>
      <c r="O257" s="15"/>
      <c r="P257" s="63"/>
    </row>
    <row r="258" ht="12.0" customHeight="1">
      <c r="A258" s="68">
        <v>88.0</v>
      </c>
      <c r="B258" s="98"/>
      <c r="C258" s="99"/>
      <c r="D258" s="100" t="s">
        <v>208</v>
      </c>
      <c r="E258" s="72"/>
      <c r="F258" s="72"/>
      <c r="G258" s="72"/>
      <c r="H258" s="73"/>
      <c r="I258" s="101"/>
      <c r="J258" s="92">
        <f>I258*B258</f>
        <v>0</v>
      </c>
      <c r="K258" s="102"/>
      <c r="L258" s="7"/>
      <c r="M258" s="77"/>
      <c r="N258" s="6"/>
      <c r="O258" s="6"/>
      <c r="P258" s="7"/>
    </row>
    <row r="259" ht="12.0" customHeight="1">
      <c r="B259" s="78"/>
      <c r="C259" s="79"/>
      <c r="D259" s="80"/>
      <c r="E259" s="65"/>
      <c r="F259" s="65"/>
      <c r="G259" s="65"/>
      <c r="H259" s="81"/>
      <c r="I259" s="79"/>
      <c r="J259" s="65"/>
      <c r="K259" s="46"/>
      <c r="L259" s="63"/>
      <c r="M259" s="46"/>
      <c r="N259" s="15"/>
      <c r="O259" s="15"/>
      <c r="P259" s="63"/>
    </row>
    <row r="260" ht="12.0" customHeight="1">
      <c r="A260" s="68">
        <v>89.0</v>
      </c>
      <c r="B260" s="98"/>
      <c r="C260" s="99"/>
      <c r="D260" s="100" t="s">
        <v>208</v>
      </c>
      <c r="E260" s="72"/>
      <c r="F260" s="72"/>
      <c r="G260" s="72"/>
      <c r="H260" s="73"/>
      <c r="I260" s="101"/>
      <c r="J260" s="92">
        <f>I260*B260</f>
        <v>0</v>
      </c>
      <c r="K260" s="102"/>
      <c r="L260" s="7"/>
      <c r="M260" s="77"/>
      <c r="N260" s="6"/>
      <c r="O260" s="6"/>
      <c r="P260" s="7"/>
    </row>
    <row r="261" ht="12.0" customHeight="1">
      <c r="B261" s="78"/>
      <c r="C261" s="79"/>
      <c r="D261" s="80"/>
      <c r="E261" s="65"/>
      <c r="F261" s="65"/>
      <c r="G261" s="65"/>
      <c r="H261" s="81"/>
      <c r="I261" s="79"/>
      <c r="J261" s="65"/>
      <c r="K261" s="46"/>
      <c r="L261" s="63"/>
      <c r="M261" s="46"/>
      <c r="N261" s="15"/>
      <c r="O261" s="15"/>
      <c r="P261" s="63"/>
    </row>
    <row r="262" ht="12.0" customHeight="1">
      <c r="A262" s="68">
        <v>90.0</v>
      </c>
      <c r="B262" s="98"/>
      <c r="C262" s="99"/>
      <c r="D262" s="100" t="s">
        <v>208</v>
      </c>
      <c r="E262" s="72"/>
      <c r="F262" s="72"/>
      <c r="G262" s="72"/>
      <c r="H262" s="73"/>
      <c r="I262" s="101"/>
      <c r="J262" s="92">
        <f>I262*B262</f>
        <v>0</v>
      </c>
      <c r="K262" s="102"/>
      <c r="L262" s="7"/>
      <c r="M262" s="77"/>
      <c r="N262" s="6"/>
      <c r="O262" s="6"/>
      <c r="P262" s="7"/>
    </row>
    <row r="263" ht="12.0" customHeight="1">
      <c r="B263" s="78"/>
      <c r="C263" s="79"/>
      <c r="D263" s="80"/>
      <c r="E263" s="65"/>
      <c r="F263" s="65"/>
      <c r="G263" s="65"/>
      <c r="H263" s="81"/>
      <c r="I263" s="79"/>
      <c r="J263" s="65"/>
      <c r="K263" s="46"/>
      <c r="L263" s="63"/>
      <c r="M263" s="46"/>
      <c r="N263" s="15"/>
      <c r="O263" s="15"/>
      <c r="P263" s="63"/>
    </row>
    <row r="264" ht="12.0" customHeight="1">
      <c r="A264" s="68">
        <v>91.0</v>
      </c>
      <c r="B264" s="98"/>
      <c r="C264" s="99"/>
      <c r="D264" s="100" t="s">
        <v>208</v>
      </c>
      <c r="E264" s="72"/>
      <c r="F264" s="72"/>
      <c r="G264" s="72"/>
      <c r="H264" s="73"/>
      <c r="I264" s="101"/>
      <c r="J264" s="92">
        <f>I264*B264</f>
        <v>0</v>
      </c>
      <c r="K264" s="102"/>
      <c r="L264" s="7"/>
      <c r="M264" s="77"/>
      <c r="N264" s="6"/>
      <c r="O264" s="6"/>
      <c r="P264" s="7"/>
    </row>
    <row r="265" ht="12.0" customHeight="1">
      <c r="B265" s="78"/>
      <c r="C265" s="79"/>
      <c r="D265" s="80"/>
      <c r="E265" s="65"/>
      <c r="F265" s="65"/>
      <c r="G265" s="65"/>
      <c r="H265" s="81"/>
      <c r="I265" s="79"/>
      <c r="J265" s="65"/>
      <c r="K265" s="46"/>
      <c r="L265" s="63"/>
      <c r="M265" s="46"/>
      <c r="N265" s="15"/>
      <c r="O265" s="15"/>
      <c r="P265" s="63"/>
    </row>
    <row r="266" ht="12.0" customHeight="1">
      <c r="A266" s="68">
        <v>92.0</v>
      </c>
      <c r="B266" s="98"/>
      <c r="C266" s="99"/>
      <c r="D266" s="100" t="s">
        <v>208</v>
      </c>
      <c r="E266" s="72"/>
      <c r="F266" s="72"/>
      <c r="G266" s="72"/>
      <c r="H266" s="73"/>
      <c r="I266" s="101"/>
      <c r="J266" s="92">
        <f>I266*B266</f>
        <v>0</v>
      </c>
      <c r="K266" s="102"/>
      <c r="L266" s="7"/>
      <c r="M266" s="77"/>
      <c r="N266" s="6"/>
      <c r="O266" s="6"/>
      <c r="P266" s="7"/>
    </row>
    <row r="267" ht="12.0" customHeight="1">
      <c r="B267" s="78"/>
      <c r="C267" s="79"/>
      <c r="D267" s="80"/>
      <c r="E267" s="65"/>
      <c r="F267" s="65"/>
      <c r="G267" s="65"/>
      <c r="H267" s="81"/>
      <c r="I267" s="79"/>
      <c r="J267" s="65"/>
      <c r="K267" s="46"/>
      <c r="L267" s="63"/>
      <c r="M267" s="46"/>
      <c r="N267" s="15"/>
      <c r="O267" s="15"/>
      <c r="P267" s="63"/>
    </row>
    <row r="268" ht="12.0" customHeight="1">
      <c r="A268" s="68">
        <v>93.0</v>
      </c>
      <c r="B268" s="98"/>
      <c r="C268" s="99"/>
      <c r="D268" s="100" t="s">
        <v>208</v>
      </c>
      <c r="E268" s="72"/>
      <c r="F268" s="72"/>
      <c r="G268" s="72"/>
      <c r="H268" s="73"/>
      <c r="I268" s="101"/>
      <c r="J268" s="92">
        <f>I268*B268</f>
        <v>0</v>
      </c>
      <c r="K268" s="102"/>
      <c r="L268" s="7"/>
      <c r="M268" s="77"/>
      <c r="N268" s="6"/>
      <c r="O268" s="6"/>
      <c r="P268" s="7"/>
    </row>
    <row r="269" ht="12.0" customHeight="1">
      <c r="B269" s="78"/>
      <c r="C269" s="79"/>
      <c r="D269" s="80"/>
      <c r="E269" s="65"/>
      <c r="F269" s="65"/>
      <c r="G269" s="65"/>
      <c r="H269" s="81"/>
      <c r="I269" s="79"/>
      <c r="J269" s="65"/>
      <c r="K269" s="46"/>
      <c r="L269" s="63"/>
      <c r="M269" s="46"/>
      <c r="N269" s="15"/>
      <c r="O269" s="15"/>
      <c r="P269" s="63"/>
    </row>
    <row r="270" ht="12.0" customHeight="1">
      <c r="A270" s="68">
        <v>94.0</v>
      </c>
      <c r="B270" s="98"/>
      <c r="C270" s="99"/>
      <c r="D270" s="100" t="s">
        <v>208</v>
      </c>
      <c r="E270" s="72"/>
      <c r="F270" s="72"/>
      <c r="G270" s="72"/>
      <c r="H270" s="73"/>
      <c r="I270" s="101"/>
      <c r="J270" s="92">
        <f>I270*B270</f>
        <v>0</v>
      </c>
      <c r="K270" s="102"/>
      <c r="L270" s="7"/>
      <c r="M270" s="77"/>
      <c r="N270" s="6"/>
      <c r="O270" s="6"/>
      <c r="P270" s="7"/>
    </row>
    <row r="271" ht="12.0" customHeight="1">
      <c r="B271" s="78"/>
      <c r="C271" s="79"/>
      <c r="D271" s="80"/>
      <c r="E271" s="65"/>
      <c r="F271" s="65"/>
      <c r="G271" s="65"/>
      <c r="H271" s="81"/>
      <c r="I271" s="79"/>
      <c r="J271" s="65"/>
      <c r="K271" s="46"/>
      <c r="L271" s="63"/>
      <c r="M271" s="46"/>
      <c r="N271" s="15"/>
      <c r="O271" s="15"/>
      <c r="P271" s="63"/>
    </row>
    <row r="272" ht="12.0" customHeight="1">
      <c r="A272" s="68">
        <v>95.0</v>
      </c>
      <c r="B272" s="98"/>
      <c r="C272" s="99"/>
      <c r="D272" s="100" t="s">
        <v>208</v>
      </c>
      <c r="E272" s="72"/>
      <c r="F272" s="72"/>
      <c r="G272" s="72"/>
      <c r="H272" s="73"/>
      <c r="I272" s="101"/>
      <c r="J272" s="92">
        <f>I272*B272</f>
        <v>0</v>
      </c>
      <c r="K272" s="102"/>
      <c r="L272" s="7"/>
      <c r="M272" s="77"/>
      <c r="N272" s="6"/>
      <c r="O272" s="6"/>
      <c r="P272" s="7"/>
    </row>
    <row r="273" ht="12.0" customHeight="1">
      <c r="B273" s="78"/>
      <c r="C273" s="79"/>
      <c r="D273" s="80"/>
      <c r="E273" s="65"/>
      <c r="F273" s="65"/>
      <c r="G273" s="65"/>
      <c r="H273" s="81"/>
      <c r="I273" s="79"/>
      <c r="J273" s="65"/>
      <c r="K273" s="46"/>
      <c r="L273" s="63"/>
      <c r="M273" s="46"/>
      <c r="N273" s="15"/>
      <c r="O273" s="15"/>
      <c r="P273" s="63"/>
    </row>
    <row r="274" ht="12.0" customHeight="1">
      <c r="A274" s="68">
        <v>96.0</v>
      </c>
      <c r="B274" s="98"/>
      <c r="C274" s="99"/>
      <c r="D274" s="100" t="s">
        <v>208</v>
      </c>
      <c r="E274" s="72"/>
      <c r="F274" s="72"/>
      <c r="G274" s="72"/>
      <c r="H274" s="73"/>
      <c r="I274" s="101"/>
      <c r="J274" s="92">
        <f>I274*B274</f>
        <v>0</v>
      </c>
      <c r="K274" s="102"/>
      <c r="L274" s="7"/>
      <c r="M274" s="77"/>
      <c r="N274" s="6"/>
      <c r="O274" s="6"/>
      <c r="P274" s="7"/>
    </row>
    <row r="275" ht="12.0" customHeight="1">
      <c r="B275" s="78"/>
      <c r="C275" s="79"/>
      <c r="D275" s="80"/>
      <c r="E275" s="65"/>
      <c r="F275" s="65"/>
      <c r="G275" s="65"/>
      <c r="H275" s="81"/>
      <c r="I275" s="79"/>
      <c r="J275" s="65"/>
      <c r="K275" s="46"/>
      <c r="L275" s="63"/>
      <c r="M275" s="46"/>
      <c r="N275" s="15"/>
      <c r="O275" s="15"/>
      <c r="P275" s="63"/>
    </row>
    <row r="276" ht="12.0" customHeight="1">
      <c r="A276" s="68">
        <v>97.0</v>
      </c>
      <c r="B276" s="98"/>
      <c r="C276" s="99"/>
      <c r="D276" s="100" t="s">
        <v>208</v>
      </c>
      <c r="E276" s="72"/>
      <c r="F276" s="72"/>
      <c r="G276" s="72"/>
      <c r="H276" s="73"/>
      <c r="I276" s="101"/>
      <c r="J276" s="92">
        <f>I276*B276</f>
        <v>0</v>
      </c>
      <c r="K276" s="102"/>
      <c r="L276" s="7"/>
      <c r="M276" s="77"/>
      <c r="N276" s="6"/>
      <c r="O276" s="6"/>
      <c r="P276" s="7"/>
    </row>
    <row r="277" ht="12.0" customHeight="1">
      <c r="B277" s="78"/>
      <c r="C277" s="79"/>
      <c r="D277" s="80"/>
      <c r="E277" s="65"/>
      <c r="F277" s="65"/>
      <c r="G277" s="65"/>
      <c r="H277" s="81"/>
      <c r="I277" s="79"/>
      <c r="J277" s="65"/>
      <c r="K277" s="46"/>
      <c r="L277" s="63"/>
      <c r="M277" s="46"/>
      <c r="N277" s="15"/>
      <c r="O277" s="15"/>
      <c r="P277" s="63"/>
    </row>
    <row r="278" ht="12.0" customHeight="1">
      <c r="A278" s="68">
        <v>98.0</v>
      </c>
      <c r="B278" s="98"/>
      <c r="C278" s="99"/>
      <c r="D278" s="100" t="s">
        <v>208</v>
      </c>
      <c r="E278" s="72"/>
      <c r="F278" s="72"/>
      <c r="G278" s="72"/>
      <c r="H278" s="73"/>
      <c r="I278" s="101"/>
      <c r="J278" s="92">
        <f>I278*B278</f>
        <v>0</v>
      </c>
      <c r="K278" s="102"/>
      <c r="L278" s="7"/>
      <c r="M278" s="77"/>
      <c r="N278" s="6"/>
      <c r="O278" s="6"/>
      <c r="P278" s="7"/>
    </row>
    <row r="279" ht="12.0" customHeight="1">
      <c r="B279" s="78"/>
      <c r="C279" s="79"/>
      <c r="D279" s="80"/>
      <c r="E279" s="65"/>
      <c r="F279" s="65"/>
      <c r="G279" s="65"/>
      <c r="H279" s="81"/>
      <c r="I279" s="79"/>
      <c r="J279" s="65"/>
      <c r="K279" s="46"/>
      <c r="L279" s="63"/>
      <c r="M279" s="46"/>
      <c r="N279" s="15"/>
      <c r="O279" s="15"/>
      <c r="P279" s="63"/>
    </row>
    <row r="280" ht="12.0" customHeight="1">
      <c r="A280" s="68">
        <v>99.0</v>
      </c>
      <c r="B280" s="98"/>
      <c r="C280" s="99"/>
      <c r="D280" s="100" t="s">
        <v>208</v>
      </c>
      <c r="E280" s="72"/>
      <c r="F280" s="72"/>
      <c r="G280" s="72"/>
      <c r="H280" s="73"/>
      <c r="I280" s="101"/>
      <c r="J280" s="92">
        <f>I280*B280</f>
        <v>0</v>
      </c>
      <c r="K280" s="102"/>
      <c r="L280" s="7"/>
      <c r="M280" s="77"/>
      <c r="N280" s="6"/>
      <c r="O280" s="6"/>
      <c r="P280" s="7"/>
    </row>
    <row r="281" ht="12.0" customHeight="1">
      <c r="B281" s="78"/>
      <c r="C281" s="79"/>
      <c r="D281" s="80"/>
      <c r="E281" s="65"/>
      <c r="F281" s="65"/>
      <c r="G281" s="65"/>
      <c r="H281" s="81"/>
      <c r="I281" s="79"/>
      <c r="J281" s="65"/>
      <c r="K281" s="46"/>
      <c r="L281" s="63"/>
      <c r="M281" s="46"/>
      <c r="N281" s="15"/>
      <c r="O281" s="15"/>
      <c r="P281" s="63"/>
    </row>
    <row r="282" ht="12.0" customHeight="1">
      <c r="A282" s="68">
        <v>100.0</v>
      </c>
      <c r="B282" s="98"/>
      <c r="C282" s="99"/>
      <c r="D282" s="100" t="s">
        <v>208</v>
      </c>
      <c r="E282" s="72"/>
      <c r="F282" s="72"/>
      <c r="G282" s="72"/>
      <c r="H282" s="73"/>
      <c r="I282" s="101"/>
      <c r="J282" s="92">
        <f>I282*B282</f>
        <v>0</v>
      </c>
      <c r="K282" s="102"/>
      <c r="L282" s="7"/>
      <c r="M282" s="77"/>
      <c r="N282" s="6"/>
      <c r="O282" s="6"/>
      <c r="P282" s="7"/>
    </row>
    <row r="283" ht="12.0" customHeight="1">
      <c r="B283" s="78"/>
      <c r="C283" s="79"/>
      <c r="D283" s="80"/>
      <c r="E283" s="65"/>
      <c r="F283" s="65"/>
      <c r="G283" s="65"/>
      <c r="H283" s="81"/>
      <c r="I283" s="79"/>
      <c r="J283" s="65"/>
      <c r="K283" s="46"/>
      <c r="L283" s="63"/>
      <c r="M283" s="46"/>
      <c r="N283" s="15"/>
      <c r="O283" s="15"/>
      <c r="P283" s="63"/>
    </row>
    <row r="284" ht="12.0" customHeight="1">
      <c r="A284" s="68">
        <v>101.0</v>
      </c>
      <c r="B284" s="98"/>
      <c r="C284" s="99"/>
      <c r="D284" s="100" t="s">
        <v>208</v>
      </c>
      <c r="E284" s="72"/>
      <c r="F284" s="72"/>
      <c r="G284" s="72"/>
      <c r="H284" s="73"/>
      <c r="I284" s="101"/>
      <c r="J284" s="92">
        <f>I284*B284</f>
        <v>0</v>
      </c>
      <c r="K284" s="102"/>
      <c r="L284" s="7"/>
      <c r="M284" s="77"/>
      <c r="N284" s="6"/>
      <c r="O284" s="6"/>
      <c r="P284" s="7"/>
    </row>
    <row r="285" ht="12.0" customHeight="1">
      <c r="B285" s="78"/>
      <c r="C285" s="79"/>
      <c r="D285" s="80"/>
      <c r="E285" s="65"/>
      <c r="F285" s="65"/>
      <c r="G285" s="65"/>
      <c r="H285" s="81"/>
      <c r="I285" s="79"/>
      <c r="J285" s="65"/>
      <c r="K285" s="46"/>
      <c r="L285" s="63"/>
      <c r="M285" s="46"/>
      <c r="N285" s="15"/>
      <c r="O285" s="15"/>
      <c r="P285" s="63"/>
    </row>
    <row r="286" ht="12.0" customHeight="1">
      <c r="A286" s="68">
        <v>102.0</v>
      </c>
      <c r="B286" s="98"/>
      <c r="C286" s="99"/>
      <c r="D286" s="100" t="s">
        <v>208</v>
      </c>
      <c r="E286" s="72"/>
      <c r="F286" s="72"/>
      <c r="G286" s="72"/>
      <c r="H286" s="73"/>
      <c r="I286" s="101"/>
      <c r="J286" s="92">
        <f>I286*B286</f>
        <v>0</v>
      </c>
      <c r="K286" s="102"/>
      <c r="L286" s="7"/>
      <c r="M286" s="77"/>
      <c r="N286" s="6"/>
      <c r="O286" s="6"/>
      <c r="P286" s="7"/>
    </row>
    <row r="287" ht="12.0" customHeight="1">
      <c r="B287" s="78"/>
      <c r="C287" s="79"/>
      <c r="D287" s="80"/>
      <c r="E287" s="65"/>
      <c r="F287" s="65"/>
      <c r="G287" s="65"/>
      <c r="H287" s="81"/>
      <c r="I287" s="79"/>
      <c r="J287" s="65"/>
      <c r="K287" s="46"/>
      <c r="L287" s="63"/>
      <c r="M287" s="46"/>
      <c r="N287" s="15"/>
      <c r="O287" s="15"/>
      <c r="P287" s="63"/>
    </row>
    <row r="288" ht="12.0" customHeight="1">
      <c r="A288" s="68">
        <v>103.0</v>
      </c>
      <c r="B288" s="98"/>
      <c r="C288" s="99"/>
      <c r="D288" s="100" t="s">
        <v>208</v>
      </c>
      <c r="E288" s="72"/>
      <c r="F288" s="72"/>
      <c r="G288" s="72"/>
      <c r="H288" s="73"/>
      <c r="I288" s="101"/>
      <c r="J288" s="92">
        <f>I288*B288</f>
        <v>0</v>
      </c>
      <c r="K288" s="102"/>
      <c r="L288" s="7"/>
      <c r="M288" s="77"/>
      <c r="N288" s="6"/>
      <c r="O288" s="6"/>
      <c r="P288" s="7"/>
    </row>
    <row r="289" ht="12.0" customHeight="1">
      <c r="B289" s="78"/>
      <c r="C289" s="79"/>
      <c r="D289" s="80"/>
      <c r="E289" s="65"/>
      <c r="F289" s="65"/>
      <c r="G289" s="65"/>
      <c r="H289" s="81"/>
      <c r="I289" s="79"/>
      <c r="J289" s="65"/>
      <c r="K289" s="46"/>
      <c r="L289" s="63"/>
      <c r="M289" s="46"/>
      <c r="N289" s="15"/>
      <c r="O289" s="15"/>
      <c r="P289" s="63"/>
    </row>
    <row r="290" ht="12.0" customHeight="1">
      <c r="A290" s="68">
        <v>104.0</v>
      </c>
      <c r="B290" s="98"/>
      <c r="C290" s="99"/>
      <c r="D290" s="100" t="s">
        <v>208</v>
      </c>
      <c r="E290" s="72"/>
      <c r="F290" s="72"/>
      <c r="G290" s="72"/>
      <c r="H290" s="73"/>
      <c r="I290" s="101"/>
      <c r="J290" s="92">
        <f>I290*B290</f>
        <v>0</v>
      </c>
      <c r="K290" s="102"/>
      <c r="L290" s="7"/>
      <c r="M290" s="77"/>
      <c r="N290" s="6"/>
      <c r="O290" s="6"/>
      <c r="P290" s="7"/>
    </row>
    <row r="291" ht="12.0" customHeight="1">
      <c r="B291" s="78"/>
      <c r="C291" s="79"/>
      <c r="D291" s="80"/>
      <c r="E291" s="65"/>
      <c r="F291" s="65"/>
      <c r="G291" s="65"/>
      <c r="H291" s="81"/>
      <c r="I291" s="79"/>
      <c r="J291" s="65"/>
      <c r="K291" s="46"/>
      <c r="L291" s="63"/>
      <c r="M291" s="46"/>
      <c r="N291" s="15"/>
      <c r="O291" s="15"/>
      <c r="P291" s="63"/>
    </row>
    <row r="292" ht="12.0" customHeight="1">
      <c r="A292" s="68">
        <v>105.0</v>
      </c>
      <c r="B292" s="98"/>
      <c r="C292" s="99"/>
      <c r="D292" s="100" t="s">
        <v>208</v>
      </c>
      <c r="E292" s="72"/>
      <c r="F292" s="72"/>
      <c r="G292" s="72"/>
      <c r="H292" s="73"/>
      <c r="I292" s="101"/>
      <c r="J292" s="92">
        <f>I292*B292</f>
        <v>0</v>
      </c>
      <c r="K292" s="102"/>
      <c r="L292" s="7"/>
      <c r="M292" s="77"/>
      <c r="N292" s="6"/>
      <c r="O292" s="6"/>
      <c r="P292" s="7"/>
    </row>
    <row r="293" ht="12.0" customHeight="1">
      <c r="B293" s="78"/>
      <c r="C293" s="79"/>
      <c r="D293" s="80"/>
      <c r="E293" s="65"/>
      <c r="F293" s="65"/>
      <c r="G293" s="65"/>
      <c r="H293" s="81"/>
      <c r="I293" s="79"/>
      <c r="J293" s="65"/>
      <c r="K293" s="46"/>
      <c r="L293" s="63"/>
      <c r="M293" s="46"/>
      <c r="N293" s="15"/>
      <c r="O293" s="15"/>
      <c r="P293" s="63"/>
    </row>
    <row r="294" ht="12.0" customHeight="1">
      <c r="A294" s="68">
        <v>106.0</v>
      </c>
      <c r="B294" s="98"/>
      <c r="C294" s="99"/>
      <c r="D294" s="100" t="s">
        <v>208</v>
      </c>
      <c r="E294" s="72"/>
      <c r="F294" s="72"/>
      <c r="G294" s="72"/>
      <c r="H294" s="73"/>
      <c r="I294" s="101"/>
      <c r="J294" s="92">
        <f>I294*B294</f>
        <v>0</v>
      </c>
      <c r="K294" s="102"/>
      <c r="L294" s="7"/>
      <c r="M294" s="77"/>
      <c r="N294" s="6"/>
      <c r="O294" s="6"/>
      <c r="P294" s="7"/>
    </row>
    <row r="295" ht="12.0" customHeight="1">
      <c r="B295" s="78"/>
      <c r="C295" s="79"/>
      <c r="D295" s="80"/>
      <c r="E295" s="65"/>
      <c r="F295" s="65"/>
      <c r="G295" s="65"/>
      <c r="H295" s="81"/>
      <c r="I295" s="79"/>
      <c r="J295" s="65"/>
      <c r="K295" s="46"/>
      <c r="L295" s="63"/>
      <c r="M295" s="46"/>
      <c r="N295" s="15"/>
      <c r="O295" s="15"/>
      <c r="P295" s="63"/>
    </row>
    <row r="296" ht="12.0" customHeight="1">
      <c r="A296" s="68">
        <v>107.0</v>
      </c>
      <c r="B296" s="98"/>
      <c r="C296" s="99"/>
      <c r="D296" s="100" t="s">
        <v>208</v>
      </c>
      <c r="E296" s="72"/>
      <c r="F296" s="72"/>
      <c r="G296" s="72"/>
      <c r="H296" s="73"/>
      <c r="I296" s="101"/>
      <c r="J296" s="92">
        <f>I296*B296</f>
        <v>0</v>
      </c>
      <c r="K296" s="102"/>
      <c r="L296" s="7"/>
      <c r="M296" s="77"/>
      <c r="N296" s="6"/>
      <c r="O296" s="6"/>
      <c r="P296" s="7"/>
    </row>
    <row r="297" ht="12.0" customHeight="1">
      <c r="B297" s="78"/>
      <c r="C297" s="79"/>
      <c r="D297" s="80"/>
      <c r="E297" s="65"/>
      <c r="F297" s="65"/>
      <c r="G297" s="65"/>
      <c r="H297" s="81"/>
      <c r="I297" s="79"/>
      <c r="J297" s="65"/>
      <c r="K297" s="46"/>
      <c r="L297" s="63"/>
      <c r="M297" s="46"/>
      <c r="N297" s="15"/>
      <c r="O297" s="15"/>
      <c r="P297" s="63"/>
    </row>
    <row r="298" ht="12.0" customHeight="1">
      <c r="A298" s="68">
        <v>108.0</v>
      </c>
      <c r="B298" s="98"/>
      <c r="C298" s="99"/>
      <c r="D298" s="100" t="s">
        <v>208</v>
      </c>
      <c r="E298" s="72"/>
      <c r="F298" s="72"/>
      <c r="G298" s="72"/>
      <c r="H298" s="73"/>
      <c r="I298" s="101"/>
      <c r="J298" s="92">
        <f>I298*B298</f>
        <v>0</v>
      </c>
      <c r="K298" s="102"/>
      <c r="L298" s="7"/>
      <c r="M298" s="77"/>
      <c r="N298" s="6"/>
      <c r="O298" s="6"/>
      <c r="P298" s="7"/>
    </row>
    <row r="299" ht="12.0" customHeight="1">
      <c r="B299" s="78"/>
      <c r="C299" s="79"/>
      <c r="D299" s="80"/>
      <c r="E299" s="65"/>
      <c r="F299" s="65"/>
      <c r="G299" s="65"/>
      <c r="H299" s="81"/>
      <c r="I299" s="79"/>
      <c r="J299" s="65"/>
      <c r="K299" s="46"/>
      <c r="L299" s="63"/>
      <c r="M299" s="46"/>
      <c r="N299" s="15"/>
      <c r="O299" s="15"/>
      <c r="P299" s="63"/>
    </row>
    <row r="300" ht="12.0" customHeight="1">
      <c r="A300" s="68">
        <v>109.0</v>
      </c>
      <c r="B300" s="98"/>
      <c r="C300" s="99"/>
      <c r="D300" s="100" t="s">
        <v>208</v>
      </c>
      <c r="E300" s="72"/>
      <c r="F300" s="72"/>
      <c r="G300" s="72"/>
      <c r="H300" s="73"/>
      <c r="I300" s="101"/>
      <c r="J300" s="92">
        <f>I300*B300</f>
        <v>0</v>
      </c>
      <c r="K300" s="102"/>
      <c r="L300" s="7"/>
      <c r="M300" s="77"/>
      <c r="N300" s="6"/>
      <c r="O300" s="6"/>
      <c r="P300" s="7"/>
    </row>
    <row r="301" ht="12.0" customHeight="1">
      <c r="B301" s="78"/>
      <c r="C301" s="79"/>
      <c r="D301" s="80"/>
      <c r="E301" s="65"/>
      <c r="F301" s="65"/>
      <c r="G301" s="65"/>
      <c r="H301" s="81"/>
      <c r="I301" s="79"/>
      <c r="J301" s="65"/>
      <c r="K301" s="46"/>
      <c r="L301" s="63"/>
      <c r="M301" s="46"/>
      <c r="N301" s="15"/>
      <c r="O301" s="15"/>
      <c r="P301" s="63"/>
    </row>
    <row r="302" ht="12.0" customHeight="1">
      <c r="A302" s="68">
        <v>110.0</v>
      </c>
      <c r="B302" s="98"/>
      <c r="C302" s="99"/>
      <c r="D302" s="100" t="s">
        <v>208</v>
      </c>
      <c r="E302" s="72"/>
      <c r="F302" s="72"/>
      <c r="G302" s="72"/>
      <c r="H302" s="73"/>
      <c r="I302" s="101"/>
      <c r="J302" s="92">
        <f>I302*B302</f>
        <v>0</v>
      </c>
      <c r="K302" s="102"/>
      <c r="L302" s="7"/>
      <c r="M302" s="77"/>
      <c r="N302" s="6"/>
      <c r="O302" s="6"/>
      <c r="P302" s="7"/>
    </row>
    <row r="303" ht="12.0" customHeight="1">
      <c r="B303" s="78"/>
      <c r="C303" s="79"/>
      <c r="D303" s="80"/>
      <c r="E303" s="65"/>
      <c r="F303" s="65"/>
      <c r="G303" s="65"/>
      <c r="H303" s="81"/>
      <c r="I303" s="79"/>
      <c r="J303" s="65"/>
      <c r="K303" s="46"/>
      <c r="L303" s="63"/>
      <c r="M303" s="46"/>
      <c r="N303" s="15"/>
      <c r="O303" s="15"/>
      <c r="P303" s="63"/>
    </row>
    <row r="304" ht="12.0" customHeight="1">
      <c r="A304" s="68">
        <v>111.0</v>
      </c>
      <c r="B304" s="98"/>
      <c r="C304" s="99"/>
      <c r="D304" s="100" t="s">
        <v>208</v>
      </c>
      <c r="E304" s="72"/>
      <c r="F304" s="72"/>
      <c r="G304" s="72"/>
      <c r="H304" s="73"/>
      <c r="I304" s="101"/>
      <c r="J304" s="92">
        <f>I304*B304</f>
        <v>0</v>
      </c>
      <c r="K304" s="102"/>
      <c r="L304" s="7"/>
      <c r="M304" s="77"/>
      <c r="N304" s="6"/>
      <c r="O304" s="6"/>
      <c r="P304" s="7"/>
    </row>
    <row r="305" ht="12.0" customHeight="1">
      <c r="B305" s="78"/>
      <c r="C305" s="79"/>
      <c r="D305" s="80"/>
      <c r="E305" s="65"/>
      <c r="F305" s="65"/>
      <c r="G305" s="65"/>
      <c r="H305" s="81"/>
      <c r="I305" s="79"/>
      <c r="J305" s="65"/>
      <c r="K305" s="46"/>
      <c r="L305" s="63"/>
      <c r="M305" s="46"/>
      <c r="N305" s="15"/>
      <c r="O305" s="15"/>
      <c r="P305" s="63"/>
    </row>
    <row r="306" ht="12.0" customHeight="1">
      <c r="A306" s="68">
        <v>112.0</v>
      </c>
      <c r="B306" s="98"/>
      <c r="C306" s="99"/>
      <c r="D306" s="100" t="s">
        <v>208</v>
      </c>
      <c r="E306" s="72"/>
      <c r="F306" s="72"/>
      <c r="G306" s="72"/>
      <c r="H306" s="73"/>
      <c r="I306" s="101"/>
      <c r="J306" s="92">
        <f>I306*B306</f>
        <v>0</v>
      </c>
      <c r="K306" s="102"/>
      <c r="L306" s="7"/>
      <c r="M306" s="77"/>
      <c r="N306" s="6"/>
      <c r="O306" s="6"/>
      <c r="P306" s="7"/>
    </row>
    <row r="307" ht="12.0" customHeight="1">
      <c r="B307" s="78"/>
      <c r="C307" s="79"/>
      <c r="D307" s="80"/>
      <c r="E307" s="65"/>
      <c r="F307" s="65"/>
      <c r="G307" s="65"/>
      <c r="H307" s="81"/>
      <c r="I307" s="79"/>
      <c r="J307" s="65"/>
      <c r="K307" s="46"/>
      <c r="L307" s="63"/>
      <c r="M307" s="46"/>
      <c r="N307" s="15"/>
      <c r="O307" s="15"/>
      <c r="P307" s="63"/>
    </row>
    <row r="308" ht="12.0" customHeight="1">
      <c r="A308" s="68">
        <v>113.0</v>
      </c>
      <c r="B308" s="98"/>
      <c r="C308" s="99"/>
      <c r="D308" s="100" t="s">
        <v>208</v>
      </c>
      <c r="E308" s="72"/>
      <c r="F308" s="72"/>
      <c r="G308" s="72"/>
      <c r="H308" s="73"/>
      <c r="I308" s="101"/>
      <c r="J308" s="92">
        <f>I308*B308</f>
        <v>0</v>
      </c>
      <c r="K308" s="102"/>
      <c r="L308" s="7"/>
      <c r="M308" s="77"/>
      <c r="N308" s="6"/>
      <c r="O308" s="6"/>
      <c r="P308" s="7"/>
    </row>
    <row r="309" ht="12.0" customHeight="1">
      <c r="B309" s="78"/>
      <c r="C309" s="79"/>
      <c r="D309" s="80"/>
      <c r="E309" s="65"/>
      <c r="F309" s="65"/>
      <c r="G309" s="65"/>
      <c r="H309" s="81"/>
      <c r="I309" s="79"/>
      <c r="J309" s="65"/>
      <c r="K309" s="46"/>
      <c r="L309" s="63"/>
      <c r="M309" s="46"/>
      <c r="N309" s="15"/>
      <c r="O309" s="15"/>
      <c r="P309" s="63"/>
    </row>
    <row r="310" ht="12.0" customHeight="1">
      <c r="A310" s="68">
        <v>114.0</v>
      </c>
      <c r="B310" s="98"/>
      <c r="C310" s="99"/>
      <c r="D310" s="100" t="s">
        <v>208</v>
      </c>
      <c r="E310" s="72"/>
      <c r="F310" s="72"/>
      <c r="G310" s="72"/>
      <c r="H310" s="73"/>
      <c r="I310" s="101"/>
      <c r="J310" s="92">
        <f>I310*B310</f>
        <v>0</v>
      </c>
      <c r="K310" s="102"/>
      <c r="L310" s="7"/>
      <c r="M310" s="77"/>
      <c r="N310" s="6"/>
      <c r="O310" s="6"/>
      <c r="P310" s="7"/>
    </row>
    <row r="311" ht="12.0" customHeight="1">
      <c r="B311" s="78"/>
      <c r="C311" s="79"/>
      <c r="D311" s="80"/>
      <c r="E311" s="65"/>
      <c r="F311" s="65"/>
      <c r="G311" s="65"/>
      <c r="H311" s="81"/>
      <c r="I311" s="79"/>
      <c r="J311" s="65"/>
      <c r="K311" s="46"/>
      <c r="L311" s="63"/>
      <c r="M311" s="46"/>
      <c r="N311" s="15"/>
      <c r="O311" s="15"/>
      <c r="P311" s="63"/>
    </row>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1">
    <mergeCell ref="F4:G4"/>
    <mergeCell ref="H4:J4"/>
    <mergeCell ref="A5:B5"/>
    <mergeCell ref="C5:D5"/>
    <mergeCell ref="F5:G5"/>
    <mergeCell ref="I5:J5"/>
    <mergeCell ref="A6:B7"/>
    <mergeCell ref="F6:G6"/>
    <mergeCell ref="C7:D7"/>
    <mergeCell ref="F7:G7"/>
    <mergeCell ref="H6:J6"/>
    <mergeCell ref="H7:J7"/>
    <mergeCell ref="A8:B9"/>
    <mergeCell ref="C8:J8"/>
    <mergeCell ref="C9:D9"/>
    <mergeCell ref="F9:G9"/>
    <mergeCell ref="H9:J9"/>
    <mergeCell ref="A10:B11"/>
    <mergeCell ref="F10:G10"/>
    <mergeCell ref="K13:P14"/>
    <mergeCell ref="D15:H15"/>
    <mergeCell ref="K15:L15"/>
    <mergeCell ref="A16:A17"/>
    <mergeCell ref="B16:B17"/>
    <mergeCell ref="C16:C17"/>
    <mergeCell ref="D16:H17"/>
    <mergeCell ref="B18:B19"/>
    <mergeCell ref="C18:C19"/>
    <mergeCell ref="D18:H19"/>
    <mergeCell ref="I18:I19"/>
    <mergeCell ref="J18:J19"/>
    <mergeCell ref="K18:L19"/>
    <mergeCell ref="M18:P19"/>
    <mergeCell ref="A18:A19"/>
    <mergeCell ref="A20:A21"/>
    <mergeCell ref="B20:B21"/>
    <mergeCell ref="C20:C21"/>
    <mergeCell ref="D20:H21"/>
    <mergeCell ref="I20:I21"/>
    <mergeCell ref="J20:J21"/>
    <mergeCell ref="M20:P21"/>
    <mergeCell ref="K20:L21"/>
    <mergeCell ref="B30:B31"/>
    <mergeCell ref="C30:C31"/>
    <mergeCell ref="D30:H31"/>
    <mergeCell ref="I30:I31"/>
    <mergeCell ref="J30:J31"/>
    <mergeCell ref="M30:P31"/>
    <mergeCell ref="K30:L31"/>
    <mergeCell ref="A30:A31"/>
    <mergeCell ref="A32:A33"/>
    <mergeCell ref="B32:B33"/>
    <mergeCell ref="C32:C33"/>
    <mergeCell ref="D32:H33"/>
    <mergeCell ref="I32:I33"/>
    <mergeCell ref="J32:J33"/>
    <mergeCell ref="K32:L33"/>
    <mergeCell ref="B34:B35"/>
    <mergeCell ref="C34:C35"/>
    <mergeCell ref="D34:H35"/>
    <mergeCell ref="I34:I35"/>
    <mergeCell ref="J34:J35"/>
    <mergeCell ref="M34:P35"/>
    <mergeCell ref="K34:L35"/>
    <mergeCell ref="A34:A35"/>
    <mergeCell ref="A36:A37"/>
    <mergeCell ref="B36:B37"/>
    <mergeCell ref="C36:C37"/>
    <mergeCell ref="D36:H37"/>
    <mergeCell ref="I36:I37"/>
    <mergeCell ref="J36:J37"/>
    <mergeCell ref="K36:L37"/>
    <mergeCell ref="M36:P37"/>
    <mergeCell ref="B38:B39"/>
    <mergeCell ref="C38:C39"/>
    <mergeCell ref="D38:H39"/>
    <mergeCell ref="I38:I39"/>
    <mergeCell ref="M38:P39"/>
    <mergeCell ref="K38:L39"/>
    <mergeCell ref="J38:J39"/>
    <mergeCell ref="K22:L23"/>
    <mergeCell ref="K24:L25"/>
    <mergeCell ref="K26:L27"/>
    <mergeCell ref="K28:L29"/>
    <mergeCell ref="K1:P9"/>
    <mergeCell ref="K10:P12"/>
    <mergeCell ref="C11:D11"/>
    <mergeCell ref="F11:G11"/>
    <mergeCell ref="H11:J11"/>
    <mergeCell ref="A12:D12"/>
    <mergeCell ref="F12:G12"/>
    <mergeCell ref="H12:J12"/>
    <mergeCell ref="C1:I2"/>
    <mergeCell ref="Q1:V15"/>
    <mergeCell ref="A2:B3"/>
    <mergeCell ref="C3:D3"/>
    <mergeCell ref="A4:B4"/>
    <mergeCell ref="C4:D4"/>
    <mergeCell ref="H10:J10"/>
    <mergeCell ref="I16:I17"/>
    <mergeCell ref="J16:J17"/>
    <mergeCell ref="K16:L17"/>
    <mergeCell ref="M16:P17"/>
    <mergeCell ref="M24:P25"/>
    <mergeCell ref="A38:A39"/>
    <mergeCell ref="A40:A41"/>
    <mergeCell ref="B40:B41"/>
    <mergeCell ref="C40:C41"/>
    <mergeCell ref="D40:H41"/>
    <mergeCell ref="I40:I41"/>
    <mergeCell ref="J40:J41"/>
    <mergeCell ref="M40:P41"/>
    <mergeCell ref="K40:L41"/>
    <mergeCell ref="B42:B43"/>
    <mergeCell ref="C42:C43"/>
    <mergeCell ref="D42:H43"/>
    <mergeCell ref="I42:I43"/>
    <mergeCell ref="J42:J43"/>
    <mergeCell ref="M42:P43"/>
    <mergeCell ref="K42:L43"/>
    <mergeCell ref="A42:A43"/>
    <mergeCell ref="A44:A45"/>
    <mergeCell ref="B44:B45"/>
    <mergeCell ref="C44:C45"/>
    <mergeCell ref="D44:H45"/>
    <mergeCell ref="I44:I45"/>
    <mergeCell ref="J44:J45"/>
    <mergeCell ref="K44:L45"/>
    <mergeCell ref="M44:P45"/>
    <mergeCell ref="B46:B47"/>
    <mergeCell ref="C46:C47"/>
    <mergeCell ref="D46:H47"/>
    <mergeCell ref="I46:I47"/>
    <mergeCell ref="M46:P47"/>
    <mergeCell ref="K46:L47"/>
    <mergeCell ref="J46:J47"/>
    <mergeCell ref="A46:A47"/>
    <mergeCell ref="A48:A49"/>
    <mergeCell ref="B48:B49"/>
    <mergeCell ref="C48:C49"/>
    <mergeCell ref="D48:H49"/>
    <mergeCell ref="I48:I49"/>
    <mergeCell ref="J48:J49"/>
    <mergeCell ref="M48:P49"/>
    <mergeCell ref="K48:L49"/>
    <mergeCell ref="B50:B51"/>
    <mergeCell ref="C50:C51"/>
    <mergeCell ref="D50:H51"/>
    <mergeCell ref="I50:I51"/>
    <mergeCell ref="J50:J51"/>
    <mergeCell ref="M50:P51"/>
    <mergeCell ref="K50:L51"/>
    <mergeCell ref="A50:A51"/>
    <mergeCell ref="A52:A53"/>
    <mergeCell ref="B52:B53"/>
    <mergeCell ref="C52:C53"/>
    <mergeCell ref="D52:H53"/>
    <mergeCell ref="I52:I53"/>
    <mergeCell ref="J52:J53"/>
    <mergeCell ref="K52:L53"/>
    <mergeCell ref="M52:P53"/>
    <mergeCell ref="B54:B55"/>
    <mergeCell ref="C54:C55"/>
    <mergeCell ref="D54:H55"/>
    <mergeCell ref="I54:I55"/>
    <mergeCell ref="M54:P55"/>
    <mergeCell ref="K54:L55"/>
    <mergeCell ref="J54:J55"/>
    <mergeCell ref="A54:A55"/>
    <mergeCell ref="A56:A57"/>
    <mergeCell ref="B56:B57"/>
    <mergeCell ref="C56:C57"/>
    <mergeCell ref="D56:H57"/>
    <mergeCell ref="I56:I57"/>
    <mergeCell ref="J56:J57"/>
    <mergeCell ref="M56:P57"/>
    <mergeCell ref="K56:L57"/>
    <mergeCell ref="B58:B59"/>
    <mergeCell ref="C58:C59"/>
    <mergeCell ref="D58:H59"/>
    <mergeCell ref="I58:I59"/>
    <mergeCell ref="J58:J59"/>
    <mergeCell ref="M58:P59"/>
    <mergeCell ref="K58:L59"/>
    <mergeCell ref="A58:A59"/>
    <mergeCell ref="A60:A61"/>
    <mergeCell ref="B60:B61"/>
    <mergeCell ref="C60:C61"/>
    <mergeCell ref="D60:H61"/>
    <mergeCell ref="I60:I61"/>
    <mergeCell ref="J60:J61"/>
    <mergeCell ref="K60:L61"/>
    <mergeCell ref="M60:P61"/>
    <mergeCell ref="B62:B63"/>
    <mergeCell ref="C62:C63"/>
    <mergeCell ref="D62:H63"/>
    <mergeCell ref="I62:I63"/>
    <mergeCell ref="M62:P63"/>
    <mergeCell ref="K62:L63"/>
    <mergeCell ref="J62:J63"/>
    <mergeCell ref="A62:A63"/>
    <mergeCell ref="A64:A65"/>
    <mergeCell ref="B64:B65"/>
    <mergeCell ref="C64:C65"/>
    <mergeCell ref="D64:H65"/>
    <mergeCell ref="I64:I65"/>
    <mergeCell ref="J64:J65"/>
    <mergeCell ref="M64:P65"/>
    <mergeCell ref="K64:L65"/>
    <mergeCell ref="B66:B67"/>
    <mergeCell ref="C66:C67"/>
    <mergeCell ref="D66:H67"/>
    <mergeCell ref="I66:I67"/>
    <mergeCell ref="J66:J67"/>
    <mergeCell ref="M66:P67"/>
    <mergeCell ref="K66:L67"/>
    <mergeCell ref="A66:A67"/>
    <mergeCell ref="A68:A69"/>
    <mergeCell ref="B68:B69"/>
    <mergeCell ref="C68:C69"/>
    <mergeCell ref="D68:H69"/>
    <mergeCell ref="I68:I69"/>
    <mergeCell ref="J68:J69"/>
    <mergeCell ref="K68:L69"/>
    <mergeCell ref="M68:P69"/>
    <mergeCell ref="B70:B71"/>
    <mergeCell ref="C70:C71"/>
    <mergeCell ref="D70:H71"/>
    <mergeCell ref="I70:I71"/>
    <mergeCell ref="M70:P71"/>
    <mergeCell ref="K70:L71"/>
    <mergeCell ref="J70:J71"/>
    <mergeCell ref="A70:A71"/>
    <mergeCell ref="A72:A73"/>
    <mergeCell ref="B72:B73"/>
    <mergeCell ref="C72:C73"/>
    <mergeCell ref="D72:H73"/>
    <mergeCell ref="I72:I73"/>
    <mergeCell ref="J72:J73"/>
    <mergeCell ref="M72:P73"/>
    <mergeCell ref="K72:L73"/>
    <mergeCell ref="M76:P77"/>
    <mergeCell ref="B78:B79"/>
    <mergeCell ref="C78:C79"/>
    <mergeCell ref="D78:H79"/>
    <mergeCell ref="I78:I79"/>
    <mergeCell ref="M78:P79"/>
    <mergeCell ref="K76:L77"/>
    <mergeCell ref="K78:L79"/>
    <mergeCell ref="J78:J79"/>
    <mergeCell ref="K74:L75"/>
    <mergeCell ref="B74:B75"/>
    <mergeCell ref="C74:C75"/>
    <mergeCell ref="D74:H75"/>
    <mergeCell ref="I74:I75"/>
    <mergeCell ref="J74:J75"/>
    <mergeCell ref="M74:P75"/>
    <mergeCell ref="A74:A75"/>
    <mergeCell ref="A76:A77"/>
    <mergeCell ref="B76:B77"/>
    <mergeCell ref="C76:C77"/>
    <mergeCell ref="D76:H77"/>
    <mergeCell ref="I76:I77"/>
    <mergeCell ref="J76:J77"/>
    <mergeCell ref="A78:A79"/>
    <mergeCell ref="A80:A81"/>
    <mergeCell ref="B80:B81"/>
    <mergeCell ref="C80:C81"/>
    <mergeCell ref="D80:H81"/>
    <mergeCell ref="I80:I81"/>
    <mergeCell ref="J80:J81"/>
    <mergeCell ref="M80:P81"/>
    <mergeCell ref="K80:L81"/>
    <mergeCell ref="B82:B83"/>
    <mergeCell ref="C82:C83"/>
    <mergeCell ref="D82:H83"/>
    <mergeCell ref="I82:I83"/>
    <mergeCell ref="J82:J83"/>
    <mergeCell ref="M82:P83"/>
    <mergeCell ref="K82:L83"/>
    <mergeCell ref="A82:A83"/>
    <mergeCell ref="A84:A85"/>
    <mergeCell ref="B84:B85"/>
    <mergeCell ref="C84:C85"/>
    <mergeCell ref="D84:H85"/>
    <mergeCell ref="I84:I85"/>
    <mergeCell ref="J84:J85"/>
    <mergeCell ref="K84:L85"/>
    <mergeCell ref="M84:P85"/>
    <mergeCell ref="B86:B87"/>
    <mergeCell ref="C86:C87"/>
    <mergeCell ref="D86:H87"/>
    <mergeCell ref="I86:I87"/>
    <mergeCell ref="M86:P87"/>
    <mergeCell ref="K86:L87"/>
    <mergeCell ref="J86:J87"/>
    <mergeCell ref="K88:L89"/>
    <mergeCell ref="M88:P89"/>
    <mergeCell ref="A86:A87"/>
    <mergeCell ref="A88:A89"/>
    <mergeCell ref="B88:B89"/>
    <mergeCell ref="C88:C89"/>
    <mergeCell ref="D88:H89"/>
    <mergeCell ref="I88:I89"/>
    <mergeCell ref="J88:J89"/>
    <mergeCell ref="B90:B91"/>
    <mergeCell ref="C90:C91"/>
    <mergeCell ref="D90:H91"/>
    <mergeCell ref="I90:I91"/>
    <mergeCell ref="J90:J91"/>
    <mergeCell ref="K90:L91"/>
    <mergeCell ref="M90:P91"/>
    <mergeCell ref="A90:A91"/>
    <mergeCell ref="A92:A93"/>
    <mergeCell ref="B92:B93"/>
    <mergeCell ref="C92:C93"/>
    <mergeCell ref="D92:H93"/>
    <mergeCell ref="I92:I93"/>
    <mergeCell ref="J92:J93"/>
    <mergeCell ref="J94:J95"/>
    <mergeCell ref="K94:L95"/>
    <mergeCell ref="K92:L93"/>
    <mergeCell ref="M92:P93"/>
    <mergeCell ref="B94:B95"/>
    <mergeCell ref="C94:C95"/>
    <mergeCell ref="D94:H95"/>
    <mergeCell ref="I94:I95"/>
    <mergeCell ref="M94:P95"/>
    <mergeCell ref="K96:L97"/>
    <mergeCell ref="M96:P97"/>
    <mergeCell ref="A94:A95"/>
    <mergeCell ref="A96:A97"/>
    <mergeCell ref="B96:B97"/>
    <mergeCell ref="C96:C97"/>
    <mergeCell ref="D96:H97"/>
    <mergeCell ref="I96:I97"/>
    <mergeCell ref="J96:J97"/>
    <mergeCell ref="B98:B99"/>
    <mergeCell ref="C98:C99"/>
    <mergeCell ref="D98:H99"/>
    <mergeCell ref="I98:I99"/>
    <mergeCell ref="J98:J99"/>
    <mergeCell ref="K98:L99"/>
    <mergeCell ref="M98:P99"/>
    <mergeCell ref="A98:A99"/>
    <mergeCell ref="A100:A101"/>
    <mergeCell ref="B100:B101"/>
    <mergeCell ref="C100:C101"/>
    <mergeCell ref="D100:H101"/>
    <mergeCell ref="I100:I101"/>
    <mergeCell ref="J100:J101"/>
    <mergeCell ref="J102:J103"/>
    <mergeCell ref="K102:L103"/>
    <mergeCell ref="K100:L101"/>
    <mergeCell ref="M100:P101"/>
    <mergeCell ref="B102:B103"/>
    <mergeCell ref="C102:C103"/>
    <mergeCell ref="D102:H103"/>
    <mergeCell ref="I102:I103"/>
    <mergeCell ref="M102:P103"/>
    <mergeCell ref="K104:L105"/>
    <mergeCell ref="M104:P105"/>
    <mergeCell ref="A102:A103"/>
    <mergeCell ref="A104:A105"/>
    <mergeCell ref="B104:B105"/>
    <mergeCell ref="C104:C105"/>
    <mergeCell ref="D104:H105"/>
    <mergeCell ref="I104:I105"/>
    <mergeCell ref="J104:J105"/>
    <mergeCell ref="B106:B107"/>
    <mergeCell ref="C106:C107"/>
    <mergeCell ref="D106:H107"/>
    <mergeCell ref="I106:I107"/>
    <mergeCell ref="J106:J107"/>
    <mergeCell ref="K106:L107"/>
    <mergeCell ref="M106:P107"/>
    <mergeCell ref="A106:A107"/>
    <mergeCell ref="A108:A109"/>
    <mergeCell ref="B108:B109"/>
    <mergeCell ref="C108:C109"/>
    <mergeCell ref="D108:H109"/>
    <mergeCell ref="I108:I109"/>
    <mergeCell ref="J108:J109"/>
    <mergeCell ref="J110:J111"/>
    <mergeCell ref="K110:L111"/>
    <mergeCell ref="K108:L109"/>
    <mergeCell ref="M108:P109"/>
    <mergeCell ref="B110:B111"/>
    <mergeCell ref="C110:C111"/>
    <mergeCell ref="D110:H111"/>
    <mergeCell ref="I110:I111"/>
    <mergeCell ref="M110:P111"/>
    <mergeCell ref="K112:L113"/>
    <mergeCell ref="M112:P113"/>
    <mergeCell ref="A110:A111"/>
    <mergeCell ref="A112:A113"/>
    <mergeCell ref="B112:B113"/>
    <mergeCell ref="C112:C113"/>
    <mergeCell ref="D112:H113"/>
    <mergeCell ref="I112:I113"/>
    <mergeCell ref="J112:J113"/>
    <mergeCell ref="B114:B115"/>
    <mergeCell ref="C114:C115"/>
    <mergeCell ref="D114:H115"/>
    <mergeCell ref="I114:I115"/>
    <mergeCell ref="J114:J115"/>
    <mergeCell ref="K114:L115"/>
    <mergeCell ref="M114:P115"/>
    <mergeCell ref="A114:A115"/>
    <mergeCell ref="A116:A117"/>
    <mergeCell ref="B116:B117"/>
    <mergeCell ref="C116:C117"/>
    <mergeCell ref="D116:H117"/>
    <mergeCell ref="I116:I117"/>
    <mergeCell ref="J116:J117"/>
    <mergeCell ref="J118:J119"/>
    <mergeCell ref="K118:L119"/>
    <mergeCell ref="K116:L117"/>
    <mergeCell ref="M116:P117"/>
    <mergeCell ref="B118:B119"/>
    <mergeCell ref="C118:C119"/>
    <mergeCell ref="D118:H119"/>
    <mergeCell ref="I118:I119"/>
    <mergeCell ref="M118:P119"/>
    <mergeCell ref="K120:L121"/>
    <mergeCell ref="M120:P121"/>
    <mergeCell ref="A118:A119"/>
    <mergeCell ref="A120:A121"/>
    <mergeCell ref="B120:B121"/>
    <mergeCell ref="C120:C121"/>
    <mergeCell ref="D120:H121"/>
    <mergeCell ref="I120:I121"/>
    <mergeCell ref="J120:J121"/>
    <mergeCell ref="B122:B123"/>
    <mergeCell ref="C122:C123"/>
    <mergeCell ref="D122:H123"/>
    <mergeCell ref="I122:I123"/>
    <mergeCell ref="J122:J123"/>
    <mergeCell ref="K122:L123"/>
    <mergeCell ref="M122:P123"/>
    <mergeCell ref="A122:A123"/>
    <mergeCell ref="A124:A125"/>
    <mergeCell ref="B124:B125"/>
    <mergeCell ref="C124:C125"/>
    <mergeCell ref="D124:H125"/>
    <mergeCell ref="I124:I125"/>
    <mergeCell ref="J124:J125"/>
    <mergeCell ref="J126:J127"/>
    <mergeCell ref="K126:L127"/>
    <mergeCell ref="K124:L125"/>
    <mergeCell ref="M124:P125"/>
    <mergeCell ref="B126:B127"/>
    <mergeCell ref="C126:C127"/>
    <mergeCell ref="D126:H127"/>
    <mergeCell ref="I126:I127"/>
    <mergeCell ref="M126:P127"/>
    <mergeCell ref="K128:L129"/>
    <mergeCell ref="M128:P129"/>
    <mergeCell ref="A126:A127"/>
    <mergeCell ref="A128:A129"/>
    <mergeCell ref="B128:B129"/>
    <mergeCell ref="C128:C129"/>
    <mergeCell ref="D128:H129"/>
    <mergeCell ref="I128:I129"/>
    <mergeCell ref="J128:J129"/>
    <mergeCell ref="J134:J135"/>
    <mergeCell ref="K134:L135"/>
    <mergeCell ref="K132:L133"/>
    <mergeCell ref="M132:P133"/>
    <mergeCell ref="B134:B135"/>
    <mergeCell ref="C134:C135"/>
    <mergeCell ref="D134:H135"/>
    <mergeCell ref="I134:I135"/>
    <mergeCell ref="M134:P135"/>
    <mergeCell ref="B130:B131"/>
    <mergeCell ref="C130:C131"/>
    <mergeCell ref="D130:H131"/>
    <mergeCell ref="I130:I131"/>
    <mergeCell ref="J130:J131"/>
    <mergeCell ref="K130:L131"/>
    <mergeCell ref="M130:P131"/>
    <mergeCell ref="A130:A131"/>
    <mergeCell ref="A132:A133"/>
    <mergeCell ref="B132:B133"/>
    <mergeCell ref="C132:C133"/>
    <mergeCell ref="D132:H133"/>
    <mergeCell ref="I132:I133"/>
    <mergeCell ref="J132:J133"/>
    <mergeCell ref="K136:L137"/>
    <mergeCell ref="M136:P137"/>
    <mergeCell ref="A134:A135"/>
    <mergeCell ref="A136:A137"/>
    <mergeCell ref="B136:B137"/>
    <mergeCell ref="C136:C137"/>
    <mergeCell ref="D136:H137"/>
    <mergeCell ref="I136:I137"/>
    <mergeCell ref="J136:J137"/>
    <mergeCell ref="B138:B139"/>
    <mergeCell ref="C138:C139"/>
    <mergeCell ref="D138:H139"/>
    <mergeCell ref="I138:I139"/>
    <mergeCell ref="J138:J139"/>
    <mergeCell ref="K138:L139"/>
    <mergeCell ref="M138:P139"/>
    <mergeCell ref="A138:A139"/>
    <mergeCell ref="A140:A141"/>
    <mergeCell ref="B140:B141"/>
    <mergeCell ref="C140:C141"/>
    <mergeCell ref="D140:H141"/>
    <mergeCell ref="I140:I141"/>
    <mergeCell ref="J140:J141"/>
    <mergeCell ref="J142:J143"/>
    <mergeCell ref="K142:L143"/>
    <mergeCell ref="K140:L141"/>
    <mergeCell ref="M140:P141"/>
    <mergeCell ref="B142:B143"/>
    <mergeCell ref="C142:C143"/>
    <mergeCell ref="D142:H143"/>
    <mergeCell ref="I142:I143"/>
    <mergeCell ref="M142:P143"/>
    <mergeCell ref="K144:L145"/>
    <mergeCell ref="M144:P145"/>
    <mergeCell ref="A142:A143"/>
    <mergeCell ref="A144:A145"/>
    <mergeCell ref="B144:B145"/>
    <mergeCell ref="C144:C145"/>
    <mergeCell ref="D144:H145"/>
    <mergeCell ref="I144:I145"/>
    <mergeCell ref="J144:J145"/>
    <mergeCell ref="B146:B147"/>
    <mergeCell ref="C146:C147"/>
    <mergeCell ref="D146:H147"/>
    <mergeCell ref="I146:I147"/>
    <mergeCell ref="J146:J147"/>
    <mergeCell ref="K146:L147"/>
    <mergeCell ref="M146:P147"/>
    <mergeCell ref="A146:A147"/>
    <mergeCell ref="A148:A149"/>
    <mergeCell ref="B148:B149"/>
    <mergeCell ref="C148:C149"/>
    <mergeCell ref="D148:H149"/>
    <mergeCell ref="I148:I149"/>
    <mergeCell ref="J148:J149"/>
    <mergeCell ref="J150:J151"/>
    <mergeCell ref="K150:L151"/>
    <mergeCell ref="K148:L149"/>
    <mergeCell ref="M148:P149"/>
    <mergeCell ref="B150:B151"/>
    <mergeCell ref="C150:C151"/>
    <mergeCell ref="D150:H151"/>
    <mergeCell ref="I150:I151"/>
    <mergeCell ref="M150:P151"/>
    <mergeCell ref="B298:B299"/>
    <mergeCell ref="C298:C299"/>
    <mergeCell ref="D298:H299"/>
    <mergeCell ref="I298:I299"/>
    <mergeCell ref="J298:J299"/>
    <mergeCell ref="K298:L299"/>
    <mergeCell ref="M298:P299"/>
    <mergeCell ref="A298:A299"/>
    <mergeCell ref="A300:A301"/>
    <mergeCell ref="B300:B301"/>
    <mergeCell ref="C300:C301"/>
    <mergeCell ref="D300:H301"/>
    <mergeCell ref="I300:I301"/>
    <mergeCell ref="J300:J301"/>
    <mergeCell ref="K304:L305"/>
    <mergeCell ref="M304:P305"/>
    <mergeCell ref="A302:A303"/>
    <mergeCell ref="A304:A305"/>
    <mergeCell ref="B304:B305"/>
    <mergeCell ref="C304:C305"/>
    <mergeCell ref="D304:H305"/>
    <mergeCell ref="I304:I305"/>
    <mergeCell ref="J304:J305"/>
    <mergeCell ref="B306:B307"/>
    <mergeCell ref="C306:C307"/>
    <mergeCell ref="D306:H307"/>
    <mergeCell ref="I306:I307"/>
    <mergeCell ref="J306:J307"/>
    <mergeCell ref="K306:L307"/>
    <mergeCell ref="M306:P307"/>
    <mergeCell ref="A306:A307"/>
    <mergeCell ref="A308:A309"/>
    <mergeCell ref="B308:B309"/>
    <mergeCell ref="C308:C309"/>
    <mergeCell ref="D308:H309"/>
    <mergeCell ref="I308:I309"/>
    <mergeCell ref="J308:J309"/>
    <mergeCell ref="B22:B23"/>
    <mergeCell ref="C22:C23"/>
    <mergeCell ref="D22:H23"/>
    <mergeCell ref="I22:I23"/>
    <mergeCell ref="J22:J23"/>
    <mergeCell ref="M22:P23"/>
    <mergeCell ref="A22:A23"/>
    <mergeCell ref="A24:A25"/>
    <mergeCell ref="B24:B25"/>
    <mergeCell ref="C24:C25"/>
    <mergeCell ref="D24:H25"/>
    <mergeCell ref="I24:I25"/>
    <mergeCell ref="J24:J25"/>
    <mergeCell ref="B26:B27"/>
    <mergeCell ref="C26:C27"/>
    <mergeCell ref="D26:H27"/>
    <mergeCell ref="I26:I27"/>
    <mergeCell ref="J26:J27"/>
    <mergeCell ref="M26:P27"/>
    <mergeCell ref="A26:A27"/>
    <mergeCell ref="A28:A29"/>
    <mergeCell ref="B28:B29"/>
    <mergeCell ref="C28:C29"/>
    <mergeCell ref="D28:H29"/>
    <mergeCell ref="I28:I29"/>
    <mergeCell ref="J28:J29"/>
    <mergeCell ref="J310:J311"/>
    <mergeCell ref="K310:L311"/>
    <mergeCell ref="K308:L309"/>
    <mergeCell ref="M308:P309"/>
    <mergeCell ref="A310:A311"/>
    <mergeCell ref="B310:B311"/>
    <mergeCell ref="C310:C311"/>
    <mergeCell ref="D310:H311"/>
    <mergeCell ref="I310:I311"/>
    <mergeCell ref="M310:P311"/>
    <mergeCell ref="M28:P29"/>
    <mergeCell ref="M32:P33"/>
    <mergeCell ref="B282:B283"/>
    <mergeCell ref="C282:C283"/>
    <mergeCell ref="D282:H283"/>
    <mergeCell ref="I282:I283"/>
    <mergeCell ref="J282:J283"/>
    <mergeCell ref="K282:L283"/>
    <mergeCell ref="M282:P283"/>
    <mergeCell ref="A282:A283"/>
    <mergeCell ref="A284:A285"/>
    <mergeCell ref="B284:B285"/>
    <mergeCell ref="C284:C285"/>
    <mergeCell ref="D284:H285"/>
    <mergeCell ref="I284:I285"/>
    <mergeCell ref="J284:J285"/>
    <mergeCell ref="J286:J287"/>
    <mergeCell ref="K286:L287"/>
    <mergeCell ref="K284:L285"/>
    <mergeCell ref="M284:P285"/>
    <mergeCell ref="B286:B287"/>
    <mergeCell ref="C286:C287"/>
    <mergeCell ref="D286:H287"/>
    <mergeCell ref="I286:I287"/>
    <mergeCell ref="M286:P287"/>
    <mergeCell ref="K288:L289"/>
    <mergeCell ref="M288:P289"/>
    <mergeCell ref="A286:A287"/>
    <mergeCell ref="A288:A289"/>
    <mergeCell ref="B288:B289"/>
    <mergeCell ref="C288:C289"/>
    <mergeCell ref="D288:H289"/>
    <mergeCell ref="I288:I289"/>
    <mergeCell ref="J288:J289"/>
    <mergeCell ref="B290:B291"/>
    <mergeCell ref="C290:C291"/>
    <mergeCell ref="D290:H291"/>
    <mergeCell ref="I290:I291"/>
    <mergeCell ref="J290:J291"/>
    <mergeCell ref="K290:L291"/>
    <mergeCell ref="M290:P291"/>
    <mergeCell ref="A290:A291"/>
    <mergeCell ref="A292:A293"/>
    <mergeCell ref="B292:B293"/>
    <mergeCell ref="C292:C293"/>
    <mergeCell ref="D292:H293"/>
    <mergeCell ref="I292:I293"/>
    <mergeCell ref="J292:J293"/>
    <mergeCell ref="J294:J295"/>
    <mergeCell ref="K294:L295"/>
    <mergeCell ref="K292:L293"/>
    <mergeCell ref="M292:P293"/>
    <mergeCell ref="B294:B295"/>
    <mergeCell ref="C294:C295"/>
    <mergeCell ref="D294:H295"/>
    <mergeCell ref="I294:I295"/>
    <mergeCell ref="M294:P295"/>
    <mergeCell ref="K296:L297"/>
    <mergeCell ref="M296:P297"/>
    <mergeCell ref="A294:A295"/>
    <mergeCell ref="A296:A297"/>
    <mergeCell ref="B296:B297"/>
    <mergeCell ref="C296:C297"/>
    <mergeCell ref="D296:H297"/>
    <mergeCell ref="I296:I297"/>
    <mergeCell ref="J296:J297"/>
    <mergeCell ref="J302:J303"/>
    <mergeCell ref="K302:L303"/>
    <mergeCell ref="K300:L301"/>
    <mergeCell ref="M300:P301"/>
    <mergeCell ref="B302:B303"/>
    <mergeCell ref="C302:C303"/>
    <mergeCell ref="D302:H303"/>
    <mergeCell ref="I302:I303"/>
    <mergeCell ref="M302:P303"/>
    <mergeCell ref="K152:L153"/>
    <mergeCell ref="M152:P153"/>
    <mergeCell ref="A150:A151"/>
    <mergeCell ref="A152:A153"/>
    <mergeCell ref="B152:B153"/>
    <mergeCell ref="C152:C153"/>
    <mergeCell ref="D152:H153"/>
    <mergeCell ref="I152:I153"/>
    <mergeCell ref="J152:J153"/>
    <mergeCell ref="B154:B155"/>
    <mergeCell ref="C154:C155"/>
    <mergeCell ref="D154:H155"/>
    <mergeCell ref="I154:I155"/>
    <mergeCell ref="J154:J155"/>
    <mergeCell ref="K154:L155"/>
    <mergeCell ref="M154:P155"/>
    <mergeCell ref="A154:A155"/>
    <mergeCell ref="A156:A157"/>
    <mergeCell ref="B156:B157"/>
    <mergeCell ref="C156:C157"/>
    <mergeCell ref="D156:H157"/>
    <mergeCell ref="I156:I157"/>
    <mergeCell ref="J156:J157"/>
    <mergeCell ref="J158:J159"/>
    <mergeCell ref="K158:L159"/>
    <mergeCell ref="K156:L157"/>
    <mergeCell ref="M156:P157"/>
    <mergeCell ref="B158:B159"/>
    <mergeCell ref="C158:C159"/>
    <mergeCell ref="D158:H159"/>
    <mergeCell ref="I158:I159"/>
    <mergeCell ref="M158:P159"/>
    <mergeCell ref="K160:L161"/>
    <mergeCell ref="M160:P161"/>
    <mergeCell ref="A158:A159"/>
    <mergeCell ref="A160:A161"/>
    <mergeCell ref="B160:B161"/>
    <mergeCell ref="C160:C161"/>
    <mergeCell ref="D160:H161"/>
    <mergeCell ref="I160:I161"/>
    <mergeCell ref="J160:J161"/>
    <mergeCell ref="B162:B163"/>
    <mergeCell ref="C162:C163"/>
    <mergeCell ref="D162:H163"/>
    <mergeCell ref="I162:I163"/>
    <mergeCell ref="J162:J163"/>
    <mergeCell ref="K162:L163"/>
    <mergeCell ref="M162:P163"/>
    <mergeCell ref="A162:A163"/>
    <mergeCell ref="A164:A165"/>
    <mergeCell ref="B164:B165"/>
    <mergeCell ref="C164:C165"/>
    <mergeCell ref="D164:H165"/>
    <mergeCell ref="I164:I165"/>
    <mergeCell ref="J164:J165"/>
    <mergeCell ref="J166:J167"/>
    <mergeCell ref="K166:L167"/>
    <mergeCell ref="K164:L165"/>
    <mergeCell ref="M164:P165"/>
    <mergeCell ref="B166:B167"/>
    <mergeCell ref="C166:C167"/>
    <mergeCell ref="D166:H167"/>
    <mergeCell ref="I166:I167"/>
    <mergeCell ref="M166:P167"/>
    <mergeCell ref="K168:L169"/>
    <mergeCell ref="M168:P169"/>
    <mergeCell ref="A166:A167"/>
    <mergeCell ref="A168:A169"/>
    <mergeCell ref="B168:B169"/>
    <mergeCell ref="C168:C169"/>
    <mergeCell ref="D168:H169"/>
    <mergeCell ref="I168:I169"/>
    <mergeCell ref="J168:J169"/>
    <mergeCell ref="B170:B171"/>
    <mergeCell ref="C170:C171"/>
    <mergeCell ref="D170:H171"/>
    <mergeCell ref="I170:I171"/>
    <mergeCell ref="J170:J171"/>
    <mergeCell ref="K170:L171"/>
    <mergeCell ref="M170:P171"/>
    <mergeCell ref="A170:A171"/>
    <mergeCell ref="A172:A173"/>
    <mergeCell ref="B172:B173"/>
    <mergeCell ref="C172:C173"/>
    <mergeCell ref="D172:H173"/>
    <mergeCell ref="I172:I173"/>
    <mergeCell ref="J172:J173"/>
    <mergeCell ref="J174:J175"/>
    <mergeCell ref="K174:L175"/>
    <mergeCell ref="K172:L173"/>
    <mergeCell ref="M172:P173"/>
    <mergeCell ref="B174:B175"/>
    <mergeCell ref="C174:C175"/>
    <mergeCell ref="D174:H175"/>
    <mergeCell ref="I174:I175"/>
    <mergeCell ref="M174:P175"/>
    <mergeCell ref="K176:L177"/>
    <mergeCell ref="M176:P177"/>
    <mergeCell ref="A174:A175"/>
    <mergeCell ref="A176:A177"/>
    <mergeCell ref="B176:B177"/>
    <mergeCell ref="C176:C177"/>
    <mergeCell ref="D176:H177"/>
    <mergeCell ref="I176:I177"/>
    <mergeCell ref="J176:J177"/>
    <mergeCell ref="B178:B179"/>
    <mergeCell ref="C178:C179"/>
    <mergeCell ref="D178:H179"/>
    <mergeCell ref="I178:I179"/>
    <mergeCell ref="J178:J179"/>
    <mergeCell ref="K178:L179"/>
    <mergeCell ref="M178:P179"/>
    <mergeCell ref="A178:A179"/>
    <mergeCell ref="A180:A181"/>
    <mergeCell ref="B180:B181"/>
    <mergeCell ref="C180:C181"/>
    <mergeCell ref="D180:H181"/>
    <mergeCell ref="I180:I181"/>
    <mergeCell ref="J180:J181"/>
    <mergeCell ref="J182:J183"/>
    <mergeCell ref="K182:L183"/>
    <mergeCell ref="K180:L181"/>
    <mergeCell ref="M180:P181"/>
    <mergeCell ref="B182:B183"/>
    <mergeCell ref="C182:C183"/>
    <mergeCell ref="D182:H183"/>
    <mergeCell ref="I182:I183"/>
    <mergeCell ref="M182:P183"/>
    <mergeCell ref="K184:L185"/>
    <mergeCell ref="M184:P185"/>
    <mergeCell ref="A182:A183"/>
    <mergeCell ref="A184:A185"/>
    <mergeCell ref="B184:B185"/>
    <mergeCell ref="C184:C185"/>
    <mergeCell ref="D184:H185"/>
    <mergeCell ref="I184:I185"/>
    <mergeCell ref="J184:J185"/>
    <mergeCell ref="J190:J191"/>
    <mergeCell ref="K190:L191"/>
    <mergeCell ref="K188:L189"/>
    <mergeCell ref="M188:P189"/>
    <mergeCell ref="B190:B191"/>
    <mergeCell ref="C190:C191"/>
    <mergeCell ref="D190:H191"/>
    <mergeCell ref="I190:I191"/>
    <mergeCell ref="M190:P191"/>
    <mergeCell ref="B186:B187"/>
    <mergeCell ref="C186:C187"/>
    <mergeCell ref="D186:H187"/>
    <mergeCell ref="I186:I187"/>
    <mergeCell ref="J186:J187"/>
    <mergeCell ref="K186:L187"/>
    <mergeCell ref="M186:P187"/>
    <mergeCell ref="A186:A187"/>
    <mergeCell ref="A188:A189"/>
    <mergeCell ref="B188:B189"/>
    <mergeCell ref="C188:C189"/>
    <mergeCell ref="D188:H189"/>
    <mergeCell ref="I188:I189"/>
    <mergeCell ref="J188:J189"/>
    <mergeCell ref="K192:L193"/>
    <mergeCell ref="M192:P193"/>
    <mergeCell ref="A190:A191"/>
    <mergeCell ref="A192:A193"/>
    <mergeCell ref="B192:B193"/>
    <mergeCell ref="C192:C193"/>
    <mergeCell ref="D192:H193"/>
    <mergeCell ref="I192:I193"/>
    <mergeCell ref="J192:J193"/>
    <mergeCell ref="B194:B195"/>
    <mergeCell ref="C194:C195"/>
    <mergeCell ref="D194:H195"/>
    <mergeCell ref="I194:I195"/>
    <mergeCell ref="J194:J195"/>
    <mergeCell ref="K194:L195"/>
    <mergeCell ref="M194:P195"/>
    <mergeCell ref="A194:A195"/>
    <mergeCell ref="A196:A197"/>
    <mergeCell ref="B196:B197"/>
    <mergeCell ref="C196:C197"/>
    <mergeCell ref="D196:H197"/>
    <mergeCell ref="I196:I197"/>
    <mergeCell ref="J196:J197"/>
    <mergeCell ref="J198:J199"/>
    <mergeCell ref="K198:L199"/>
    <mergeCell ref="K196:L197"/>
    <mergeCell ref="M196:P197"/>
    <mergeCell ref="B198:B199"/>
    <mergeCell ref="C198:C199"/>
    <mergeCell ref="D198:H199"/>
    <mergeCell ref="I198:I199"/>
    <mergeCell ref="M198:P199"/>
    <mergeCell ref="K200:L201"/>
    <mergeCell ref="M200:P201"/>
    <mergeCell ref="A198:A199"/>
    <mergeCell ref="A200:A201"/>
    <mergeCell ref="B200:B201"/>
    <mergeCell ref="C200:C201"/>
    <mergeCell ref="D200:H201"/>
    <mergeCell ref="I200:I201"/>
    <mergeCell ref="J200:J201"/>
    <mergeCell ref="B202:B203"/>
    <mergeCell ref="C202:C203"/>
    <mergeCell ref="D202:H203"/>
    <mergeCell ref="I202:I203"/>
    <mergeCell ref="J202:J203"/>
    <mergeCell ref="K202:L203"/>
    <mergeCell ref="M202:P203"/>
    <mergeCell ref="A202:A203"/>
    <mergeCell ref="A204:A205"/>
    <mergeCell ref="B204:B205"/>
    <mergeCell ref="C204:C205"/>
    <mergeCell ref="D204:H205"/>
    <mergeCell ref="I204:I205"/>
    <mergeCell ref="J204:J205"/>
    <mergeCell ref="J206:J207"/>
    <mergeCell ref="K206:L207"/>
    <mergeCell ref="K204:L205"/>
    <mergeCell ref="M204:P205"/>
    <mergeCell ref="B206:B207"/>
    <mergeCell ref="C206:C207"/>
    <mergeCell ref="D206:H207"/>
    <mergeCell ref="I206:I207"/>
    <mergeCell ref="M206:P207"/>
    <mergeCell ref="K208:L209"/>
    <mergeCell ref="M208:P209"/>
    <mergeCell ref="A206:A207"/>
    <mergeCell ref="A208:A209"/>
    <mergeCell ref="B208:B209"/>
    <mergeCell ref="C208:C209"/>
    <mergeCell ref="D208:H209"/>
    <mergeCell ref="I208:I209"/>
    <mergeCell ref="J208:J209"/>
    <mergeCell ref="B210:B211"/>
    <mergeCell ref="C210:C211"/>
    <mergeCell ref="D210:H211"/>
    <mergeCell ref="I210:I211"/>
    <mergeCell ref="J210:J211"/>
    <mergeCell ref="K210:L211"/>
    <mergeCell ref="M210:P211"/>
    <mergeCell ref="A210:A211"/>
    <mergeCell ref="A212:A213"/>
    <mergeCell ref="B212:B213"/>
    <mergeCell ref="C212:C213"/>
    <mergeCell ref="D212:H213"/>
    <mergeCell ref="I212:I213"/>
    <mergeCell ref="J212:J213"/>
    <mergeCell ref="J214:J215"/>
    <mergeCell ref="K214:L215"/>
    <mergeCell ref="K212:L213"/>
    <mergeCell ref="M212:P213"/>
    <mergeCell ref="B214:B215"/>
    <mergeCell ref="C214:C215"/>
    <mergeCell ref="D214:H215"/>
    <mergeCell ref="I214:I215"/>
    <mergeCell ref="M214:P215"/>
    <mergeCell ref="K216:L217"/>
    <mergeCell ref="M216:P217"/>
    <mergeCell ref="A214:A215"/>
    <mergeCell ref="A216:A217"/>
    <mergeCell ref="B216:B217"/>
    <mergeCell ref="C216:C217"/>
    <mergeCell ref="D216:H217"/>
    <mergeCell ref="I216:I217"/>
    <mergeCell ref="J216:J217"/>
    <mergeCell ref="B218:B219"/>
    <mergeCell ref="C218:C219"/>
    <mergeCell ref="D218:H219"/>
    <mergeCell ref="I218:I219"/>
    <mergeCell ref="J218:J219"/>
    <mergeCell ref="K218:L219"/>
    <mergeCell ref="M218:P219"/>
    <mergeCell ref="A218:A219"/>
    <mergeCell ref="A220:A221"/>
    <mergeCell ref="B220:B221"/>
    <mergeCell ref="C220:C221"/>
    <mergeCell ref="D220:H221"/>
    <mergeCell ref="I220:I221"/>
    <mergeCell ref="J220:J221"/>
    <mergeCell ref="J222:J223"/>
    <mergeCell ref="K222:L223"/>
    <mergeCell ref="K220:L221"/>
    <mergeCell ref="M220:P221"/>
    <mergeCell ref="B222:B223"/>
    <mergeCell ref="C222:C223"/>
    <mergeCell ref="D222:H223"/>
    <mergeCell ref="I222:I223"/>
    <mergeCell ref="M222:P223"/>
    <mergeCell ref="K224:L225"/>
    <mergeCell ref="M224:P225"/>
    <mergeCell ref="A222:A223"/>
    <mergeCell ref="A224:A225"/>
    <mergeCell ref="B224:B225"/>
    <mergeCell ref="C224:C225"/>
    <mergeCell ref="D224:H225"/>
    <mergeCell ref="I224:I225"/>
    <mergeCell ref="J224:J225"/>
    <mergeCell ref="B226:B227"/>
    <mergeCell ref="C226:C227"/>
    <mergeCell ref="D226:H227"/>
    <mergeCell ref="I226:I227"/>
    <mergeCell ref="J226:J227"/>
    <mergeCell ref="K226:L227"/>
    <mergeCell ref="M226:P227"/>
    <mergeCell ref="A226:A227"/>
    <mergeCell ref="A228:A229"/>
    <mergeCell ref="B228:B229"/>
    <mergeCell ref="C228:C229"/>
    <mergeCell ref="D228:H229"/>
    <mergeCell ref="I228:I229"/>
    <mergeCell ref="J228:J229"/>
    <mergeCell ref="J230:J231"/>
    <mergeCell ref="K230:L231"/>
    <mergeCell ref="K228:L229"/>
    <mergeCell ref="M228:P229"/>
    <mergeCell ref="B230:B231"/>
    <mergeCell ref="C230:C231"/>
    <mergeCell ref="D230:H231"/>
    <mergeCell ref="I230:I231"/>
    <mergeCell ref="M230:P231"/>
    <mergeCell ref="K232:L233"/>
    <mergeCell ref="M232:P233"/>
    <mergeCell ref="A230:A231"/>
    <mergeCell ref="A232:A233"/>
    <mergeCell ref="B232:B233"/>
    <mergeCell ref="C232:C233"/>
    <mergeCell ref="D232:H233"/>
    <mergeCell ref="I232:I233"/>
    <mergeCell ref="J232:J233"/>
    <mergeCell ref="B234:B235"/>
    <mergeCell ref="C234:C235"/>
    <mergeCell ref="D234:H235"/>
    <mergeCell ref="I234:I235"/>
    <mergeCell ref="J234:J235"/>
    <mergeCell ref="K234:L235"/>
    <mergeCell ref="M234:P235"/>
    <mergeCell ref="A234:A235"/>
    <mergeCell ref="A236:A237"/>
    <mergeCell ref="B236:B237"/>
    <mergeCell ref="C236:C237"/>
    <mergeCell ref="D236:H237"/>
    <mergeCell ref="I236:I237"/>
    <mergeCell ref="J236:J237"/>
    <mergeCell ref="J238:J239"/>
    <mergeCell ref="K238:L239"/>
    <mergeCell ref="K236:L237"/>
    <mergeCell ref="M236:P237"/>
    <mergeCell ref="B238:B239"/>
    <mergeCell ref="C238:C239"/>
    <mergeCell ref="D238:H239"/>
    <mergeCell ref="I238:I239"/>
    <mergeCell ref="M238:P239"/>
    <mergeCell ref="K240:L241"/>
    <mergeCell ref="M240:P241"/>
    <mergeCell ref="A238:A239"/>
    <mergeCell ref="A240:A241"/>
    <mergeCell ref="B240:B241"/>
    <mergeCell ref="C240:C241"/>
    <mergeCell ref="D240:H241"/>
    <mergeCell ref="I240:I241"/>
    <mergeCell ref="J240:J241"/>
    <mergeCell ref="J246:J247"/>
    <mergeCell ref="K246:L247"/>
    <mergeCell ref="K244:L245"/>
    <mergeCell ref="M244:P245"/>
    <mergeCell ref="B246:B247"/>
    <mergeCell ref="C246:C247"/>
    <mergeCell ref="D246:H247"/>
    <mergeCell ref="I246:I247"/>
    <mergeCell ref="M246:P247"/>
    <mergeCell ref="B242:B243"/>
    <mergeCell ref="C242:C243"/>
    <mergeCell ref="D242:H243"/>
    <mergeCell ref="I242:I243"/>
    <mergeCell ref="J242:J243"/>
    <mergeCell ref="K242:L243"/>
    <mergeCell ref="M242:P243"/>
    <mergeCell ref="A242:A243"/>
    <mergeCell ref="A244:A245"/>
    <mergeCell ref="B244:B245"/>
    <mergeCell ref="C244:C245"/>
    <mergeCell ref="D244:H245"/>
    <mergeCell ref="I244:I245"/>
    <mergeCell ref="J244:J245"/>
    <mergeCell ref="K248:L249"/>
    <mergeCell ref="M248:P249"/>
    <mergeCell ref="A246:A247"/>
    <mergeCell ref="A248:A249"/>
    <mergeCell ref="B248:B249"/>
    <mergeCell ref="C248:C249"/>
    <mergeCell ref="D248:H249"/>
    <mergeCell ref="I248:I249"/>
    <mergeCell ref="J248:J249"/>
    <mergeCell ref="B250:B251"/>
    <mergeCell ref="C250:C251"/>
    <mergeCell ref="D250:H251"/>
    <mergeCell ref="I250:I251"/>
    <mergeCell ref="J250:J251"/>
    <mergeCell ref="K250:L251"/>
    <mergeCell ref="M250:P251"/>
    <mergeCell ref="A250:A251"/>
    <mergeCell ref="A252:A253"/>
    <mergeCell ref="B252:B253"/>
    <mergeCell ref="C252:C253"/>
    <mergeCell ref="D252:H253"/>
    <mergeCell ref="I252:I253"/>
    <mergeCell ref="J252:J253"/>
    <mergeCell ref="J254:J255"/>
    <mergeCell ref="K254:L255"/>
    <mergeCell ref="K252:L253"/>
    <mergeCell ref="M252:P253"/>
    <mergeCell ref="B254:B255"/>
    <mergeCell ref="C254:C255"/>
    <mergeCell ref="D254:H255"/>
    <mergeCell ref="I254:I255"/>
    <mergeCell ref="M254:P255"/>
    <mergeCell ref="K256:L257"/>
    <mergeCell ref="M256:P257"/>
    <mergeCell ref="A254:A255"/>
    <mergeCell ref="A256:A257"/>
    <mergeCell ref="B256:B257"/>
    <mergeCell ref="C256:C257"/>
    <mergeCell ref="D256:H257"/>
    <mergeCell ref="I256:I257"/>
    <mergeCell ref="J256:J257"/>
    <mergeCell ref="B258:B259"/>
    <mergeCell ref="C258:C259"/>
    <mergeCell ref="D258:H259"/>
    <mergeCell ref="I258:I259"/>
    <mergeCell ref="J258:J259"/>
    <mergeCell ref="K258:L259"/>
    <mergeCell ref="M258:P259"/>
    <mergeCell ref="A258:A259"/>
    <mergeCell ref="A260:A261"/>
    <mergeCell ref="B260:B261"/>
    <mergeCell ref="C260:C261"/>
    <mergeCell ref="D260:H261"/>
    <mergeCell ref="I260:I261"/>
    <mergeCell ref="J260:J261"/>
    <mergeCell ref="J262:J263"/>
    <mergeCell ref="K262:L263"/>
    <mergeCell ref="K260:L261"/>
    <mergeCell ref="M260:P261"/>
    <mergeCell ref="B262:B263"/>
    <mergeCell ref="C262:C263"/>
    <mergeCell ref="D262:H263"/>
    <mergeCell ref="I262:I263"/>
    <mergeCell ref="M262:P263"/>
    <mergeCell ref="K264:L265"/>
    <mergeCell ref="M264:P265"/>
    <mergeCell ref="A262:A263"/>
    <mergeCell ref="A264:A265"/>
    <mergeCell ref="B264:B265"/>
    <mergeCell ref="C264:C265"/>
    <mergeCell ref="D264:H265"/>
    <mergeCell ref="I264:I265"/>
    <mergeCell ref="J264:J265"/>
    <mergeCell ref="B266:B267"/>
    <mergeCell ref="C266:C267"/>
    <mergeCell ref="D266:H267"/>
    <mergeCell ref="I266:I267"/>
    <mergeCell ref="J266:J267"/>
    <mergeCell ref="K266:L267"/>
    <mergeCell ref="M266:P267"/>
    <mergeCell ref="A266:A267"/>
    <mergeCell ref="A268:A269"/>
    <mergeCell ref="B268:B269"/>
    <mergeCell ref="C268:C269"/>
    <mergeCell ref="D268:H269"/>
    <mergeCell ref="I268:I269"/>
    <mergeCell ref="J268:J269"/>
    <mergeCell ref="J270:J271"/>
    <mergeCell ref="K270:L271"/>
    <mergeCell ref="K268:L269"/>
    <mergeCell ref="M268:P269"/>
    <mergeCell ref="B270:B271"/>
    <mergeCell ref="C270:C271"/>
    <mergeCell ref="D270:H271"/>
    <mergeCell ref="I270:I271"/>
    <mergeCell ref="M270:P271"/>
    <mergeCell ref="K272:L273"/>
    <mergeCell ref="M272:P273"/>
    <mergeCell ref="A270:A271"/>
    <mergeCell ref="A272:A273"/>
    <mergeCell ref="B272:B273"/>
    <mergeCell ref="C272:C273"/>
    <mergeCell ref="D272:H273"/>
    <mergeCell ref="I272:I273"/>
    <mergeCell ref="J272:J273"/>
    <mergeCell ref="B274:B275"/>
    <mergeCell ref="C274:C275"/>
    <mergeCell ref="D274:H275"/>
    <mergeCell ref="I274:I275"/>
    <mergeCell ref="J274:J275"/>
    <mergeCell ref="K274:L275"/>
    <mergeCell ref="M274:P275"/>
    <mergeCell ref="A274:A275"/>
    <mergeCell ref="A276:A277"/>
    <mergeCell ref="B276:B277"/>
    <mergeCell ref="C276:C277"/>
    <mergeCell ref="D276:H277"/>
    <mergeCell ref="I276:I277"/>
    <mergeCell ref="J276:J277"/>
    <mergeCell ref="J278:J279"/>
    <mergeCell ref="K278:L279"/>
    <mergeCell ref="K276:L277"/>
    <mergeCell ref="M276:P277"/>
    <mergeCell ref="B278:B279"/>
    <mergeCell ref="C278:C279"/>
    <mergeCell ref="D278:H279"/>
    <mergeCell ref="I278:I279"/>
    <mergeCell ref="M278:P279"/>
    <mergeCell ref="K280:L281"/>
    <mergeCell ref="M280:P281"/>
    <mergeCell ref="A278:A279"/>
    <mergeCell ref="A280:A281"/>
    <mergeCell ref="B280:B281"/>
    <mergeCell ref="C280:C281"/>
    <mergeCell ref="D280:H281"/>
    <mergeCell ref="I280:I281"/>
    <mergeCell ref="J280:J281"/>
  </mergeCells>
  <dataValidations>
    <dataValidation type="list" allowBlank="1" showErrorMessage="1" sqref="C5">
      <formula1>$W$2:$W$3</formula1>
    </dataValidation>
    <dataValidation type="list" allowBlank="1" showErrorMessage="1" sqref="H5">
      <formula1>$Y$2:$Z$122</formula1>
    </dataValidation>
  </dataValidations>
  <printOptions horizontalCentered="1" verticalCentered="1"/>
  <pageMargins bottom="0.5" footer="0.0" header="0.0" left="0.5" right="0.5" top="0.5"/>
  <pageSetup fitToHeight="0" orientation="portrait"/>
  <drawing r:id="rId1"/>
</worksheet>
</file>