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<sst xmlns="http://schemas.openxmlformats.org/spreadsheetml/2006/main" count="328" uniqueCount="178">
  <si>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</si>
  <si>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</si>
  <si>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</si>
  <si>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</si>
  <si>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</si>
  <si>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</si>
  <si>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</si>
  <si>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</si>
  <si>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</si>
  <si>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</si>
  <si>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</si>
  <si>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</si>
  <si>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</si>
  <si>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</si>
  <si>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</si>
  <si>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</si>
  <si>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</si>
  <si>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</si>
  <si>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PR_4</t>
  </si>
  <si>
    <t>Must be correct (duplicate numbers rejected)</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</si>
  <si>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</si>
  <si>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</si>
  <si>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</si>
  <si>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</si>
  <si>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</si>
  <si>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</si>
  <si>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</si>
  <si>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</si>
  <si>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</si>
  <si>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</si>
  <si>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</si>
  <si>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</si>
  <si>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</si>
  <si>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</si>
  <si>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</si>
  <si>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</si>
  <si>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</si>
  <si>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</si>
  <si>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</si>
  <si>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</si>
  <si>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Mouser</t>
  </si>
  <si>
    <t>PROJECT LEAD</t>
  </si>
  <si>
    <t>PR_10</t>
  </si>
  <si>
    <t xml:space="preserve">PROJECT LEAD EMAIL </t>
  </si>
  <si>
    <t>PR_11</t>
  </si>
  <si>
    <t>PR</t>
  </si>
  <si>
    <t>RECEIVED DATE</t>
  </si>
  <si>
    <t>SUBMITTED ORDER TOTAL</t>
  </si>
  <si>
    <t>ISL PURCHASER</t>
  </si>
  <si>
    <t>DATE ISL SUBMITTED</t>
  </si>
  <si>
    <t>ACTUAL ORDER TOTAL</t>
  </si>
  <si>
    <t>ORDER #</t>
  </si>
  <si>
    <t>JUSTIFICATION: Part is best for its purpose and cannot be found on approved vendor list</t>
  </si>
  <si>
    <t>PR_12</t>
  </si>
  <si>
    <t>PR_13</t>
  </si>
  <si>
    <t>ITEM NO.</t>
  </si>
  <si>
    <t>QTY</t>
  </si>
  <si>
    <t>PART NUMBER</t>
  </si>
  <si>
    <t>PRODUCT DESCRIPTION</t>
  </si>
  <si>
    <t>UNIT PRICE</t>
  </si>
  <si>
    <t>TOTAL PRICE</t>
  </si>
  <si>
    <t xml:space="preserve">LEAD TIMES </t>
  </si>
  <si>
    <t>NOTES FOR OFFICE ONLY (DO NOT EDIT)</t>
  </si>
  <si>
    <t>PR_14</t>
  </si>
  <si>
    <t>TPA2034D1YZFT</t>
  </si>
  <si>
    <t>Audio Amplifiers 2.75W Mon Fully Diff Class-D Aud Amp A 595-TPA2034D1YZFT</t>
  </si>
  <si>
    <t>6 Weeks</t>
  </si>
  <si>
    <t>PR_15</t>
  </si>
  <si>
    <t>PR_16</t>
  </si>
  <si>
    <t>485-3571</t>
  </si>
  <si>
    <t>Hardware Debuggers SEGGER J-Link EDU Mini - JTAG/SWD Debugger</t>
  </si>
  <si>
    <t>5 Weeks</t>
  </si>
  <si>
    <t>PR_17</t>
  </si>
  <si>
    <t>PR_18</t>
  </si>
  <si>
    <t xml:space="preserve"> </t>
  </si>
  <si>
    <t>PR_19</t>
  </si>
  <si>
    <t>PR_20</t>
  </si>
  <si>
    <t>PR_21</t>
  </si>
  <si>
    <t>PR_22</t>
  </si>
  <si>
    <t>PR_23</t>
  </si>
  <si>
    <t>PR_24</t>
  </si>
  <si>
    <t>PR_25</t>
  </si>
  <si>
    <t>PR_26</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</si>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</sst>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_(&quot;$&quot;* #,##0.00_);_(&quot;$&quot;* \(#,##0.00\);_(&quot;$&quot;* &quot;-&quot;??_);_(@_)"/>
    <numFmt numFmtId="166" formatCode="m/d/yy"/>
    <numFmt numFmtId="167" formatCode="m/d"/>
  </numFmts>
  <fonts count="21">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2.0"/>
      <color theme="1"/>
      <name val="Arial"/>
    </font>
    <font>
      <sz val="12.0"/>
      <color rgb="FF000000"/>
      <name val="Arial"/>
    </font>
    <font>
      <i/>
      <sz val="9.0"/>
      <color theme="1"/>
      <name val="Arial"/>
    </font>
    <font>
      <b/>
      <sz val="12.0"/>
      <color rgb="FF000000"/>
      <name val="Arial"/>
    </font>
    <font>
      <i/>
      <color theme="1"/>
      <name val="Arial"/>
    </font>
    <font>
      <b/>
      <sz val="7.0"/>
      <color theme="1"/>
      <name val="Arial"/>
    </font>
    <font>
      <sz val="14.0"/>
      <color theme="1"/>
      <name val="Arial"/>
    </font>
    <font>
      <b/>
      <sz val="7.0"/>
      <color rgb="FF000000"/>
      <name val="Arial"/>
    </font>
    <font>
      <b/>
      <sz val="8.0"/>
      <color theme="1"/>
      <name val="Arial"/>
    </font>
    <font>
      <b/>
      <sz val="8.0"/>
      <color rgb="FF000000"/>
      <name val="Arial"/>
    </font>
    <font>
      <color theme="1"/>
      <name val="Arial"/>
    </font>
    <font>
      <b/>
      <color theme="1"/>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5"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9"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0" numFmtId="0" xfId="0" applyAlignment="1" applyBorder="1" applyFont="1">
      <alignment horizontal="left" readingOrder="0"/>
    </xf>
    <xf borderId="6" fillId="0" fontId="11" numFmtId="0" xfId="0" applyAlignment="1" applyBorder="1" applyFont="1">
      <alignment horizontal="left" shrinkToFit="0" wrapText="1"/>
    </xf>
    <xf borderId="0" fillId="0" fontId="9" numFmtId="167"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7" numFmtId="0" xfId="0" applyAlignment="1" applyFont="1">
      <alignment horizontal="left" shrinkToFit="0" wrapText="1"/>
    </xf>
    <xf borderId="7" fillId="0" fontId="10" numFmtId="0" xfId="0" applyAlignment="1" applyBorder="1" applyFont="1">
      <alignment horizontal="left"/>
    </xf>
    <xf borderId="7" fillId="0" fontId="6" numFmtId="0" xfId="0" applyBorder="1" applyFont="1"/>
    <xf borderId="6" fillId="0" fontId="12" numFmtId="0" xfId="0" applyAlignment="1" applyBorder="1" applyFont="1">
      <alignment horizontal="center" shrinkToFit="0" vertical="center" wrapText="1"/>
    </xf>
    <xf borderId="0" fillId="0" fontId="4" numFmtId="0" xfId="0" applyFont="1"/>
    <xf borderId="8" fillId="0" fontId="13"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4" numFmtId="0" xfId="0" applyAlignment="1" applyFont="1">
      <alignment horizontal="center" shrinkToFit="0" vertical="center" wrapText="1"/>
    </xf>
    <xf borderId="0" fillId="0" fontId="14" numFmtId="0" xfId="0" applyAlignment="1" applyFont="1">
      <alignment horizontal="center" vertical="center"/>
    </xf>
    <xf borderId="0" fillId="0" fontId="7" numFmtId="0" xfId="0" applyAlignment="1" applyFont="1">
      <alignment horizontal="center"/>
    </xf>
    <xf borderId="7" fillId="0" fontId="15"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6"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7" numFmtId="0" xfId="0" applyAlignment="1" applyFont="1">
      <alignment horizontal="center" shrinkToFit="0" vertical="center" wrapText="1"/>
    </xf>
    <xf borderId="1" fillId="0" fontId="1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2" fillId="2" fontId="18" numFmtId="0" xfId="0" applyAlignment="1" applyBorder="1" applyFill="1" applyFont="1">
      <alignment horizontal="center" shrinkToFit="0" wrapText="1"/>
    </xf>
    <xf borderId="2" fillId="0" fontId="17" numFmtId="0" xfId="0" applyAlignment="1" applyBorder="1" applyFont="1">
      <alignment horizontal="center" vertical="center"/>
    </xf>
    <xf borderId="2" fillId="0" fontId="17" numFmtId="0" xfId="0" applyAlignment="1" applyBorder="1" applyFont="1">
      <alignment horizontal="center" shrinkToFit="0" wrapText="1"/>
    </xf>
    <xf borderId="3" fillId="0" fontId="19" numFmtId="0" xfId="0" applyBorder="1" applyFont="1"/>
    <xf borderId="1" fillId="0" fontId="5" numFmtId="0" xfId="0" applyAlignment="1" applyBorder="1" applyFont="1">
      <alignment readingOrder="0" vertical="top"/>
    </xf>
    <xf borderId="8"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7" fillId="0" fontId="17" numFmtId="166" xfId="0" applyAlignment="1" applyBorder="1" applyFont="1" applyNumberFormat="1">
      <alignment horizontal="center" vertical="center"/>
    </xf>
    <xf borderId="7" fillId="0" fontId="17" numFmtId="40" xfId="0" applyAlignment="1" applyBorder="1" applyFont="1" applyNumberFormat="1">
      <alignment horizontal="center" vertical="center"/>
    </xf>
    <xf borderId="7" fillId="0" fontId="17" numFmtId="0" xfId="0" applyAlignment="1" applyBorder="1" applyFont="1">
      <alignment horizontal="center" vertical="center"/>
    </xf>
    <xf borderId="7" fillId="0" fontId="17" numFmtId="165" xfId="0" applyAlignment="1" applyBorder="1" applyFont="1" applyNumberFormat="1">
      <alignment horizontal="center" vertical="center"/>
    </xf>
    <xf borderId="7" fillId="0" fontId="17" numFmtId="0" xfId="0" applyAlignment="1" applyBorder="1" applyFont="1">
      <alignment horizontal="center" shrinkToFit="0" wrapText="1"/>
    </xf>
    <xf borderId="9" fillId="0" fontId="17" numFmtId="0" xfId="0" applyAlignment="1" applyBorder="1" applyFont="1">
      <alignment horizontal="center" shrinkToFit="0" wrapText="1"/>
    </xf>
    <xf borderId="11" fillId="0" fontId="6" numFmtId="0" xfId="0" applyBorder="1" applyFont="1"/>
    <xf borderId="12" fillId="0" fontId="14" numFmtId="0" xfId="0" applyAlignment="1" applyBorder="1" applyFont="1">
      <alignment horizontal="center" vertical="center"/>
    </xf>
    <xf borderId="12" fillId="0" fontId="6" numFmtId="0" xfId="0" applyBorder="1" applyFont="1"/>
    <xf borderId="0" fillId="0" fontId="14" numFmtId="0" xfId="0" applyAlignment="1" applyFont="1">
      <alignment horizontal="center" shrinkToFit="0" wrapText="1"/>
    </xf>
    <xf borderId="1" fillId="0" fontId="7" numFmtId="0" xfId="0" applyBorder="1" applyFont="1"/>
    <xf borderId="0" fillId="0" fontId="9" numFmtId="0" xfId="0" applyAlignment="1" applyFont="1">
      <alignment horizontal="center" vertical="center"/>
    </xf>
    <xf borderId="13" fillId="3" fontId="12" numFmtId="0" xfId="0" applyAlignment="1" applyBorder="1" applyFill="1" applyFont="1">
      <alignment horizontal="center" readingOrder="0" vertical="center"/>
    </xf>
    <xf borderId="14" fillId="3" fontId="5" numFmtId="0" xfId="0" applyAlignment="1" applyBorder="1" applyFont="1">
      <alignment horizontal="center" readingOrder="0" shrinkToFit="0" vertical="center" wrapText="1"/>
    </xf>
    <xf borderId="15" fillId="3" fontId="5" numFmtId="0" xfId="0" applyAlignment="1" applyBorder="1" applyFont="1">
      <alignment horizontal="left" readingOrder="0" shrinkToFit="0" vertical="center" wrapText="1"/>
    </xf>
    <xf borderId="16" fillId="0" fontId="6" numFmtId="0" xfId="0" applyBorder="1" applyFont="1"/>
    <xf borderId="17" fillId="0" fontId="6" numFmtId="0" xfId="0" applyBorder="1" applyFont="1"/>
    <xf borderId="14" fillId="3" fontId="12" numFmtId="2" xfId="0" applyAlignment="1" applyBorder="1" applyFont="1" applyNumberFormat="1">
      <alignment horizontal="right" readingOrder="0" vertical="center"/>
    </xf>
    <xf borderId="16" fillId="3" fontId="12" numFmtId="40" xfId="0" applyAlignment="1" applyBorder="1" applyFont="1" applyNumberFormat="1">
      <alignment horizontal="right" vertical="center"/>
    </xf>
    <xf borderId="1" fillId="3" fontId="5" numFmtId="0" xfId="0" applyAlignment="1" applyBorder="1" applyFont="1">
      <alignment readingOrder="0"/>
    </xf>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2" fontId="9" numFmtId="0" xfId="0" applyAlignment="1" applyBorder="1" applyFont="1">
      <alignment horizontal="center"/>
    </xf>
    <xf borderId="14" fillId="2" fontId="20" numFmtId="0" xfId="0" applyAlignment="1" applyBorder="1" applyFont="1">
      <alignment horizontal="center" readingOrder="0" shrinkToFit="0" wrapText="1"/>
    </xf>
    <xf borderId="15" fillId="2" fontId="20" numFmtId="0" xfId="0" applyAlignment="1" applyBorder="1" applyFont="1">
      <alignment readingOrder="0" shrinkToFit="0" wrapText="1"/>
    </xf>
    <xf borderId="14" fillId="2" fontId="9" numFmtId="2" xfId="0" applyAlignment="1" applyBorder="1" applyFont="1" applyNumberFormat="1">
      <alignment horizontal="right" readingOrder="0"/>
    </xf>
    <xf borderId="16" fillId="2" fontId="9" numFmtId="40" xfId="0" applyAlignment="1" applyBorder="1" applyFont="1" applyNumberFormat="1">
      <alignment horizontal="right"/>
    </xf>
    <xf borderId="1" fillId="2" fontId="20" numFmtId="0" xfId="0" applyAlignment="1" applyBorder="1" applyFont="1">
      <alignment vertical="bottom"/>
    </xf>
    <xf borderId="22" fillId="0" fontId="9" numFmtId="0" xfId="0" applyAlignment="1" applyBorder="1" applyFont="1">
      <alignment horizontal="center" vertical="center"/>
    </xf>
    <xf borderId="23"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9" numFmtId="0" xfId="0" applyAlignment="1" applyBorder="1" applyFont="1">
      <alignment horizontal="right" vertical="center"/>
    </xf>
    <xf borderId="16" fillId="0" fontId="9" numFmtId="40" xfId="0" applyAlignment="1" applyBorder="1" applyFont="1" applyNumberFormat="1">
      <alignment horizontal="right" vertical="center"/>
    </xf>
    <xf borderId="1" fillId="0" fontId="8" numFmtId="0" xfId="0" applyBorder="1" applyFont="1"/>
    <xf borderId="24" fillId="0" fontId="6" numFmtId="0" xfId="0" applyBorder="1" applyFont="1"/>
    <xf borderId="25" fillId="0" fontId="6" numFmtId="0" xfId="0" applyBorder="1" applyFont="1"/>
    <xf borderId="13" fillId="0" fontId="9" numFmtId="0" xfId="0" applyAlignment="1" applyBorder="1" applyFont="1">
      <alignment horizontal="center" vertical="center"/>
    </xf>
    <xf borderId="14"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162.28</v>
      </c>
      <c r="Q2" s="11"/>
      <c r="V2" s="12"/>
      <c r="W2" s="13" t="s">
        <v>7</v>
      </c>
      <c r="Y2" s="13" t="s">
        <v>8</v>
      </c>
    </row>
    <row r="3" ht="21.75" customHeight="1">
      <c r="C3" s="14">
        <v>45974.0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18</v>
      </c>
      <c r="I5" s="25" t="s">
        <v>19</v>
      </c>
      <c r="J5" s="15"/>
      <c r="Q5" s="11"/>
      <c r="V5" s="12"/>
      <c r="Y5" s="13" t="s">
        <v>18</v>
      </c>
    </row>
    <row r="6" ht="36.0" customHeight="1">
      <c r="A6" s="9" t="s">
        <v>20</v>
      </c>
      <c r="C6" s="26"/>
      <c r="D6" s="27"/>
      <c r="E6" s="27"/>
      <c r="F6" s="28" t="s">
        <v>21</v>
      </c>
      <c r="H6" s="29" t="s">
        <v>22</v>
      </c>
      <c r="I6" s="30"/>
      <c r="J6" s="30"/>
      <c r="Q6" s="11"/>
      <c r="V6" s="12"/>
      <c r="Y6" s="13" t="s">
        <v>23</v>
      </c>
    </row>
    <row r="7" ht="17.25" customHeight="1">
      <c r="C7" s="31" t="s">
        <v>24</v>
      </c>
      <c r="D7" s="15"/>
      <c r="E7" s="27"/>
      <c r="F7" s="16" t="s">
        <v>25</v>
      </c>
      <c r="H7" s="32" t="s">
        <v>26</v>
      </c>
      <c r="Q7" s="11"/>
      <c r="V7" s="12"/>
      <c r="Y7" s="13" t="s">
        <v>27</v>
      </c>
    </row>
    <row r="8" ht="16.5" customHeight="1">
      <c r="A8" s="9" t="s">
        <v>28</v>
      </c>
      <c r="C8" s="33" t="s">
        <v>29</v>
      </c>
      <c r="D8" s="30"/>
      <c r="E8" s="30"/>
      <c r="F8" s="30"/>
      <c r="G8" s="30"/>
      <c r="H8" s="30"/>
      <c r="I8" s="30"/>
      <c r="J8" s="34"/>
      <c r="Q8" s="11"/>
      <c r="V8" s="12"/>
      <c r="Y8" s="13" t="s">
        <v>30</v>
      </c>
    </row>
    <row r="9" ht="48.0" customHeight="1">
      <c r="C9" s="35" t="s">
        <v>31</v>
      </c>
      <c r="D9" s="30"/>
      <c r="E9" s="27"/>
      <c r="F9" s="36" t="s">
        <v>32</v>
      </c>
      <c r="H9" s="37" t="s">
        <v>33</v>
      </c>
      <c r="Q9" s="11"/>
      <c r="V9" s="12"/>
      <c r="Y9" s="13" t="s">
        <v>34</v>
      </c>
    </row>
    <row r="10" ht="17.25" customHeight="1">
      <c r="A10" s="9" t="s">
        <v>35</v>
      </c>
      <c r="C10" s="38"/>
      <c r="D10" s="39"/>
      <c r="E10" s="39"/>
      <c r="F10" s="40" t="s">
        <v>36</v>
      </c>
      <c r="H10" s="41" t="s">
        <v>37</v>
      </c>
      <c r="I10" s="30"/>
      <c r="J10" s="30"/>
      <c r="K10" s="42" t="s">
        <v>38</v>
      </c>
      <c r="L10" s="6"/>
      <c r="M10" s="6"/>
      <c r="N10" s="6"/>
      <c r="O10" s="6"/>
      <c r="P10" s="6"/>
      <c r="Q10" s="11"/>
      <c r="V10" s="12"/>
      <c r="W10" s="43"/>
      <c r="X10" s="43"/>
      <c r="Y10" s="13" t="s">
        <v>39</v>
      </c>
      <c r="Z10" s="43"/>
    </row>
    <row r="11" ht="17.25" customHeight="1">
      <c r="C11" s="44" t="s">
        <v>40</v>
      </c>
      <c r="D11" s="15"/>
      <c r="E11" s="39"/>
      <c r="F11" s="40" t="s">
        <v>41</v>
      </c>
      <c r="H11" s="29" t="s">
        <v>26</v>
      </c>
      <c r="I11" s="30"/>
      <c r="J11" s="30"/>
      <c r="K11" s="11"/>
      <c r="Q11" s="11"/>
      <c r="V11" s="12"/>
      <c r="W11" s="43"/>
      <c r="X11" s="43"/>
      <c r="Y11" s="13" t="s">
        <v>42</v>
      </c>
      <c r="Z11" s="43"/>
    </row>
    <row r="12" ht="17.25" customHeight="1">
      <c r="A12" s="38"/>
      <c r="E12" s="39"/>
      <c r="F12" s="40" t="s">
        <v>43</v>
      </c>
      <c r="H12" s="45" t="s">
        <v>22</v>
      </c>
      <c r="I12" s="30"/>
      <c r="J12" s="30"/>
      <c r="K12" s="46"/>
      <c r="L12" s="15"/>
      <c r="M12" s="15"/>
      <c r="N12" s="15"/>
      <c r="O12" s="15"/>
      <c r="P12" s="15"/>
      <c r="Q12" s="11"/>
      <c r="V12" s="12"/>
      <c r="W12" s="43"/>
      <c r="X12" s="43"/>
      <c r="Y12" s="13" t="s">
        <v>44</v>
      </c>
      <c r="Z12" s="43"/>
    </row>
    <row r="13" ht="29.25" customHeight="1">
      <c r="A13" s="47"/>
      <c r="B13" s="48" t="s">
        <v>45</v>
      </c>
      <c r="C13" s="49" t="s">
        <v>35</v>
      </c>
      <c r="D13" s="49" t="s">
        <v>46</v>
      </c>
      <c r="E13" s="50" t="s">
        <v>47</v>
      </c>
      <c r="F13" s="51" t="s">
        <v>48</v>
      </c>
      <c r="G13" s="49" t="s">
        <v>49</v>
      </c>
      <c r="H13" s="52" t="s">
        <v>50</v>
      </c>
      <c r="I13" s="52" t="s">
        <v>51</v>
      </c>
      <c r="J13" s="53"/>
      <c r="K13" s="54" t="s">
        <v>52</v>
      </c>
      <c r="L13" s="6"/>
      <c r="M13" s="6"/>
      <c r="N13" s="6"/>
      <c r="O13" s="6"/>
      <c r="P13" s="7"/>
      <c r="Q13" s="11"/>
      <c r="V13" s="12"/>
      <c r="W13" s="43"/>
      <c r="X13" s="43"/>
      <c r="Y13" s="13" t="s">
        <v>53</v>
      </c>
      <c r="Z13" s="43"/>
    </row>
    <row r="14" ht="41.25" customHeight="1">
      <c r="A14" s="47"/>
      <c r="B14" s="55" t="str">
        <f>H5</f>
        <v>PR_4</v>
      </c>
      <c r="C14" s="56" t="str">
        <f>C11</f>
        <v>Mouser</v>
      </c>
      <c r="D14" s="57" t="str">
        <f>C4</f>
        <v/>
      </c>
      <c r="E14" s="58">
        <f>J2</f>
        <v>162.28</v>
      </c>
      <c r="F14" s="59"/>
      <c r="G14" s="57"/>
      <c r="H14" s="60" t="str">
        <f>G3</f>
        <v/>
      </c>
      <c r="I14" s="61" t="str">
        <f>H4</f>
        <v/>
      </c>
      <c r="J14" s="62"/>
      <c r="K14" s="46"/>
      <c r="L14" s="15"/>
      <c r="M14" s="15"/>
      <c r="N14" s="15"/>
      <c r="O14" s="15"/>
      <c r="P14" s="63"/>
      <c r="Q14" s="11"/>
      <c r="V14" s="12"/>
      <c r="W14" s="43"/>
      <c r="X14" s="43"/>
      <c r="Y14" s="13" t="s">
        <v>54</v>
      </c>
      <c r="Z14" s="43"/>
    </row>
    <row r="15" ht="22.5" customHeight="1">
      <c r="A15" s="38" t="s">
        <v>55</v>
      </c>
      <c r="B15" s="38" t="s">
        <v>56</v>
      </c>
      <c r="C15" s="38" t="s">
        <v>57</v>
      </c>
      <c r="D15" s="64" t="s">
        <v>58</v>
      </c>
      <c r="E15" s="65"/>
      <c r="F15" s="65"/>
      <c r="G15" s="65"/>
      <c r="H15" s="65"/>
      <c r="I15" s="66" t="s">
        <v>59</v>
      </c>
      <c r="J15" s="66" t="s">
        <v>60</v>
      </c>
      <c r="K15" s="67" t="s">
        <v>61</v>
      </c>
      <c r="L15" s="7"/>
      <c r="M15" s="43" t="s">
        <v>62</v>
      </c>
      <c r="N15" s="43"/>
      <c r="O15" s="43"/>
      <c r="P15" s="43"/>
      <c r="Q15" s="46"/>
      <c r="R15" s="15"/>
      <c r="S15" s="15"/>
      <c r="T15" s="15"/>
      <c r="U15" s="15"/>
      <c r="V15" s="63"/>
      <c r="W15" s="43"/>
      <c r="X15" s="43"/>
      <c r="Y15" s="13" t="s">
        <v>63</v>
      </c>
      <c r="Z15" s="43"/>
    </row>
    <row r="16" ht="18.0" customHeight="1">
      <c r="A16" s="68">
        <v>1.0</v>
      </c>
      <c r="B16" s="69">
        <v>10.0</v>
      </c>
      <c r="C16" s="70" t="s">
        <v>64</v>
      </c>
      <c r="D16" s="71" t="s">
        <v>65</v>
      </c>
      <c r="E16" s="72"/>
      <c r="F16" s="72"/>
      <c r="G16" s="72"/>
      <c r="H16" s="73"/>
      <c r="I16" s="74">
        <v>1.24</v>
      </c>
      <c r="J16" s="75">
        <f>I16*B16</f>
        <v>12.4</v>
      </c>
      <c r="K16" s="76" t="s">
        <v>66</v>
      </c>
      <c r="L16" s="7"/>
      <c r="M16" s="77"/>
      <c r="N16" s="6"/>
      <c r="O16" s="6"/>
      <c r="P16" s="7"/>
      <c r="Y16" s="13" t="s">
        <v>67</v>
      </c>
    </row>
    <row r="17" ht="18.0" customHeight="1">
      <c r="B17" s="78"/>
      <c r="C17" s="79"/>
      <c r="D17" s="80"/>
      <c r="E17" s="65"/>
      <c r="F17" s="65"/>
      <c r="G17" s="65"/>
      <c r="H17" s="81"/>
      <c r="I17" s="79"/>
      <c r="J17" s="65"/>
      <c r="K17" s="46"/>
      <c r="L17" s="63"/>
      <c r="M17" s="46"/>
      <c r="N17" s="15"/>
      <c r="O17" s="15"/>
      <c r="P17" s="63"/>
      <c r="Y17" s="13" t="s">
        <v>68</v>
      </c>
    </row>
    <row r="18" ht="18.0" customHeight="1">
      <c r="A18" s="68">
        <v>2.0</v>
      </c>
      <c r="B18" s="82">
        <v>2.0</v>
      </c>
      <c r="C18" s="83" t="s">
        <v>69</v>
      </c>
      <c r="D18" s="84" t="s">
        <v>70</v>
      </c>
      <c r="E18" s="72"/>
      <c r="F18" s="72"/>
      <c r="G18" s="72"/>
      <c r="H18" s="73"/>
      <c r="I18" s="85">
        <v>74.94</v>
      </c>
      <c r="J18" s="86">
        <f>I18*B18</f>
        <v>149.88</v>
      </c>
      <c r="K18" s="87" t="s">
        <v>71</v>
      </c>
      <c r="L18" s="7"/>
      <c r="M18" s="77"/>
      <c r="N18" s="6"/>
      <c r="O18" s="6"/>
      <c r="P18" s="7"/>
      <c r="Y18" s="13" t="s">
        <v>72</v>
      </c>
    </row>
    <row r="19" ht="18.0" customHeight="1">
      <c r="B19" s="78"/>
      <c r="C19" s="79"/>
      <c r="D19" s="80"/>
      <c r="E19" s="65"/>
      <c r="F19" s="65"/>
      <c r="G19" s="65"/>
      <c r="H19" s="81"/>
      <c r="I19" s="79"/>
      <c r="J19" s="65"/>
      <c r="K19" s="46"/>
      <c r="L19" s="63"/>
      <c r="M19" s="46"/>
      <c r="N19" s="15"/>
      <c r="O19" s="15"/>
      <c r="P19" s="63"/>
      <c r="Y19" s="13" t="s">
        <v>73</v>
      </c>
    </row>
    <row r="20" ht="18.0" customHeight="1">
      <c r="A20" s="68">
        <v>3.0</v>
      </c>
      <c r="B20" s="88"/>
      <c r="C20" s="89"/>
      <c r="D20" s="90" t="s">
        <v>74</v>
      </c>
      <c r="E20" s="72"/>
      <c r="F20" s="72"/>
      <c r="G20" s="72"/>
      <c r="H20" s="73"/>
      <c r="I20" s="91"/>
      <c r="J20" s="92">
        <f>I20*B20</f>
        <v>0</v>
      </c>
      <c r="K20" s="93"/>
      <c r="L20" s="7"/>
      <c r="M20" s="77"/>
      <c r="N20" s="6"/>
      <c r="O20" s="6"/>
      <c r="P20" s="7"/>
      <c r="Y20" s="13" t="s">
        <v>75</v>
      </c>
    </row>
    <row r="21" ht="18.0" customHeight="1">
      <c r="B21" s="94"/>
      <c r="C21" s="95"/>
      <c r="D21" s="80"/>
      <c r="E21" s="65"/>
      <c r="F21" s="65"/>
      <c r="G21" s="65"/>
      <c r="H21" s="81"/>
      <c r="I21" s="79"/>
      <c r="J21" s="65"/>
      <c r="K21" s="46"/>
      <c r="L21" s="63"/>
      <c r="M21" s="46"/>
      <c r="N21" s="15"/>
      <c r="O21" s="15"/>
      <c r="P21" s="63"/>
      <c r="Y21" s="13" t="s">
        <v>76</v>
      </c>
    </row>
    <row r="22" ht="18.0" customHeight="1">
      <c r="A22" s="68">
        <v>4.0</v>
      </c>
      <c r="B22" s="96"/>
      <c r="C22" s="97"/>
      <c r="D22" s="90" t="s">
        <v>74</v>
      </c>
      <c r="E22" s="72"/>
      <c r="F22" s="72"/>
      <c r="G22" s="72"/>
      <c r="H22" s="73"/>
      <c r="I22" s="91"/>
      <c r="J22" s="92">
        <f>I22*B22</f>
        <v>0</v>
      </c>
      <c r="K22" s="93"/>
      <c r="L22" s="7"/>
      <c r="M22" s="77"/>
      <c r="N22" s="6"/>
      <c r="O22" s="6"/>
      <c r="P22" s="7"/>
      <c r="Y22" s="13" t="s">
        <v>77</v>
      </c>
    </row>
    <row r="23" ht="18.0" customHeight="1">
      <c r="B23" s="78"/>
      <c r="C23" s="79"/>
      <c r="D23" s="80"/>
      <c r="E23" s="65"/>
      <c r="F23" s="65"/>
      <c r="G23" s="65"/>
      <c r="H23" s="81"/>
      <c r="I23" s="79"/>
      <c r="J23" s="65"/>
      <c r="K23" s="46"/>
      <c r="L23" s="63"/>
      <c r="M23" s="46"/>
      <c r="N23" s="15"/>
      <c r="O23" s="15"/>
      <c r="P23" s="63"/>
      <c r="Y23" s="13" t="s">
        <v>78</v>
      </c>
    </row>
    <row r="24" ht="18.0" customHeight="1">
      <c r="A24" s="68">
        <v>5.0</v>
      </c>
      <c r="B24" s="88"/>
      <c r="C24" s="89"/>
      <c r="D24" s="90" t="s">
        <v>74</v>
      </c>
      <c r="E24" s="72"/>
      <c r="F24" s="72"/>
      <c r="G24" s="72"/>
      <c r="H24" s="73"/>
      <c r="I24" s="91"/>
      <c r="J24" s="92">
        <f>I24*B24</f>
        <v>0</v>
      </c>
      <c r="K24" s="93"/>
      <c r="L24" s="7"/>
      <c r="M24" s="77"/>
      <c r="N24" s="6"/>
      <c r="O24" s="6"/>
      <c r="P24" s="7"/>
      <c r="Y24" s="13" t="s">
        <v>79</v>
      </c>
    </row>
    <row r="25" ht="18.0" customHeight="1">
      <c r="B25" s="94"/>
      <c r="C25" s="95"/>
      <c r="D25" s="80"/>
      <c r="E25" s="65"/>
      <c r="F25" s="65"/>
      <c r="G25" s="65"/>
      <c r="H25" s="81"/>
      <c r="I25" s="79"/>
      <c r="J25" s="65"/>
      <c r="K25" s="46"/>
      <c r="L25" s="63"/>
      <c r="M25" s="46"/>
      <c r="N25" s="15"/>
      <c r="O25" s="15"/>
      <c r="P25" s="63"/>
      <c r="Y25" s="13" t="s">
        <v>80</v>
      </c>
    </row>
    <row r="26" ht="18.0" customHeight="1">
      <c r="A26" s="68">
        <v>6.0</v>
      </c>
      <c r="B26" s="96"/>
      <c r="C26" s="97"/>
      <c r="D26" s="90" t="s">
        <v>74</v>
      </c>
      <c r="E26" s="72"/>
      <c r="F26" s="72"/>
      <c r="G26" s="72"/>
      <c r="H26" s="73"/>
      <c r="I26" s="91"/>
      <c r="J26" s="92">
        <f>I26*B26</f>
        <v>0</v>
      </c>
      <c r="K26" s="93"/>
      <c r="L26" s="7"/>
      <c r="M26" s="77"/>
      <c r="N26" s="6"/>
      <c r="O26" s="6"/>
      <c r="P26" s="7"/>
      <c r="Y26" s="13" t="s">
        <v>81</v>
      </c>
    </row>
    <row r="27" ht="18.0" customHeight="1">
      <c r="B27" s="78"/>
      <c r="C27" s="79"/>
      <c r="D27" s="80"/>
      <c r="E27" s="65"/>
      <c r="F27" s="65"/>
      <c r="G27" s="65"/>
      <c r="H27" s="81"/>
      <c r="I27" s="79"/>
      <c r="J27" s="65"/>
      <c r="K27" s="46"/>
      <c r="L27" s="63"/>
      <c r="M27" s="46"/>
      <c r="N27" s="15"/>
      <c r="O27" s="15"/>
      <c r="P27" s="63"/>
      <c r="Y27" s="13" t="s">
        <v>82</v>
      </c>
    </row>
    <row r="28" ht="18.0" customHeight="1">
      <c r="A28" s="68">
        <v>7.0</v>
      </c>
      <c r="B28" s="88"/>
      <c r="C28" s="89"/>
      <c r="D28" s="90" t="s">
        <v>74</v>
      </c>
      <c r="E28" s="72"/>
      <c r="F28" s="72"/>
      <c r="G28" s="72"/>
      <c r="H28" s="73"/>
      <c r="I28" s="91"/>
      <c r="J28" s="92">
        <f>I28*B28</f>
        <v>0</v>
      </c>
      <c r="K28" s="93"/>
      <c r="L28" s="7"/>
      <c r="M28" s="77"/>
      <c r="N28" s="6"/>
      <c r="O28" s="6"/>
      <c r="P28" s="7"/>
      <c r="Y28" s="13" t="s">
        <v>83</v>
      </c>
    </row>
    <row r="29" ht="18.0" customHeight="1">
      <c r="B29" s="94"/>
      <c r="C29" s="95"/>
      <c r="D29" s="80"/>
      <c r="E29" s="65"/>
      <c r="F29" s="65"/>
      <c r="G29" s="65"/>
      <c r="H29" s="81"/>
      <c r="I29" s="79"/>
      <c r="J29" s="65"/>
      <c r="K29" s="46"/>
      <c r="L29" s="63"/>
      <c r="M29" s="46"/>
      <c r="N29" s="15"/>
      <c r="O29" s="15"/>
      <c r="P29" s="63"/>
      <c r="Y29" s="13" t="s">
        <v>84</v>
      </c>
    </row>
    <row r="30" ht="18.0" customHeight="1">
      <c r="A30" s="68">
        <v>8.0</v>
      </c>
      <c r="B30" s="96"/>
      <c r="C30" s="97"/>
      <c r="D30" s="90" t="s">
        <v>74</v>
      </c>
      <c r="E30" s="72"/>
      <c r="F30" s="72"/>
      <c r="G30" s="72"/>
      <c r="H30" s="73"/>
      <c r="I30" s="91"/>
      <c r="J30" s="92">
        <f>I30*B30</f>
        <v>0</v>
      </c>
      <c r="K30" s="93"/>
      <c r="L30" s="7"/>
      <c r="M30" s="77"/>
      <c r="N30" s="6"/>
      <c r="O30" s="6"/>
      <c r="P30" s="7"/>
      <c r="Y30" s="13" t="s">
        <v>85</v>
      </c>
    </row>
    <row r="31" ht="18.0" customHeight="1">
      <c r="B31" s="78"/>
      <c r="C31" s="79"/>
      <c r="D31" s="80"/>
      <c r="E31" s="65"/>
      <c r="F31" s="65"/>
      <c r="G31" s="65"/>
      <c r="H31" s="81"/>
      <c r="I31" s="79"/>
      <c r="J31" s="65"/>
      <c r="K31" s="46"/>
      <c r="L31" s="63"/>
      <c r="M31" s="46"/>
      <c r="N31" s="15"/>
      <c r="O31" s="15"/>
      <c r="P31" s="63"/>
      <c r="Y31" s="13" t="s">
        <v>86</v>
      </c>
    </row>
    <row r="32" ht="18.0" customHeight="1">
      <c r="A32" s="68">
        <v>9.0</v>
      </c>
      <c r="B32" s="88"/>
      <c r="C32" s="89"/>
      <c r="D32" s="90" t="s">
        <v>74</v>
      </c>
      <c r="E32" s="72"/>
      <c r="F32" s="72"/>
      <c r="G32" s="72"/>
      <c r="H32" s="73"/>
      <c r="I32" s="91"/>
      <c r="J32" s="92">
        <f>I32*B32</f>
        <v>0</v>
      </c>
      <c r="K32" s="93"/>
      <c r="L32" s="7"/>
      <c r="M32" s="77"/>
      <c r="N32" s="6"/>
      <c r="O32" s="6"/>
      <c r="P32" s="7"/>
      <c r="Y32" s="13" t="s">
        <v>87</v>
      </c>
    </row>
    <row r="33" ht="18.0" customHeight="1">
      <c r="B33" s="94"/>
      <c r="C33" s="95"/>
      <c r="D33" s="80"/>
      <c r="E33" s="65"/>
      <c r="F33" s="65"/>
      <c r="G33" s="65"/>
      <c r="H33" s="81"/>
      <c r="I33" s="79"/>
      <c r="J33" s="65"/>
      <c r="K33" s="46"/>
      <c r="L33" s="63"/>
      <c r="M33" s="46"/>
      <c r="N33" s="15"/>
      <c r="O33" s="15"/>
      <c r="P33" s="63"/>
      <c r="Y33" s="13" t="s">
        <v>88</v>
      </c>
    </row>
    <row r="34" ht="18.0" customHeight="1">
      <c r="A34" s="68">
        <v>10.0</v>
      </c>
      <c r="B34" s="96"/>
      <c r="C34" s="97"/>
      <c r="D34" s="90" t="s">
        <v>74</v>
      </c>
      <c r="E34" s="72"/>
      <c r="F34" s="72"/>
      <c r="G34" s="72"/>
      <c r="H34" s="73"/>
      <c r="I34" s="91"/>
      <c r="J34" s="92">
        <f>I34*B34</f>
        <v>0</v>
      </c>
      <c r="K34" s="93"/>
      <c r="L34" s="7"/>
      <c r="M34" s="77"/>
      <c r="N34" s="6"/>
      <c r="O34" s="6"/>
      <c r="P34" s="7"/>
      <c r="Y34" s="13" t="s">
        <v>89</v>
      </c>
    </row>
    <row r="35" ht="18.0" customHeight="1">
      <c r="B35" s="78"/>
      <c r="C35" s="79"/>
      <c r="D35" s="80"/>
      <c r="E35" s="65"/>
      <c r="F35" s="65"/>
      <c r="G35" s="65"/>
      <c r="H35" s="81"/>
      <c r="I35" s="79"/>
      <c r="J35" s="65"/>
      <c r="K35" s="46"/>
      <c r="L35" s="63"/>
      <c r="M35" s="46"/>
      <c r="N35" s="15"/>
      <c r="O35" s="15"/>
      <c r="P35" s="63"/>
      <c r="Y35" s="13" t="s">
        <v>90</v>
      </c>
    </row>
    <row r="36" ht="14.25" customHeight="1">
      <c r="A36" s="68">
        <v>11.0</v>
      </c>
      <c r="B36" s="96"/>
      <c r="C36" s="97"/>
      <c r="D36" s="90" t="s">
        <v>74</v>
      </c>
      <c r="E36" s="72"/>
      <c r="F36" s="72"/>
      <c r="G36" s="72"/>
      <c r="H36" s="73"/>
      <c r="I36" s="91"/>
      <c r="J36" s="92">
        <f>I36*B36</f>
        <v>0</v>
      </c>
      <c r="K36" s="93"/>
      <c r="L36" s="7"/>
      <c r="M36" s="77"/>
      <c r="N36" s="6"/>
      <c r="O36" s="6"/>
      <c r="P36" s="7"/>
      <c r="Y36" s="13" t="s">
        <v>91</v>
      </c>
    </row>
    <row r="37" ht="14.25" customHeight="1">
      <c r="B37" s="78"/>
      <c r="C37" s="79"/>
      <c r="D37" s="80"/>
      <c r="E37" s="65"/>
      <c r="F37" s="65"/>
      <c r="G37" s="65"/>
      <c r="H37" s="81"/>
      <c r="I37" s="79"/>
      <c r="J37" s="65"/>
      <c r="K37" s="46"/>
      <c r="L37" s="63"/>
      <c r="M37" s="46"/>
      <c r="N37" s="15"/>
      <c r="O37" s="15"/>
      <c r="P37" s="63"/>
      <c r="Y37" s="13" t="s">
        <v>92</v>
      </c>
    </row>
    <row r="38" ht="14.25" customHeight="1">
      <c r="A38" s="68">
        <v>12.0</v>
      </c>
      <c r="B38" s="96"/>
      <c r="C38" s="97"/>
      <c r="D38" s="90" t="s">
        <v>74</v>
      </c>
      <c r="E38" s="72"/>
      <c r="F38" s="72"/>
      <c r="G38" s="72"/>
      <c r="H38" s="73"/>
      <c r="I38" s="91"/>
      <c r="J38" s="92">
        <f>I38*B38</f>
        <v>0</v>
      </c>
      <c r="K38" s="93"/>
      <c r="L38" s="7"/>
      <c r="M38" s="77"/>
      <c r="N38" s="6"/>
      <c r="O38" s="6"/>
      <c r="P38" s="7"/>
      <c r="Y38" s="13" t="s">
        <v>93</v>
      </c>
    </row>
    <row r="39" ht="14.25" customHeight="1">
      <c r="B39" s="78"/>
      <c r="C39" s="79"/>
      <c r="D39" s="80"/>
      <c r="E39" s="65"/>
      <c r="F39" s="65"/>
      <c r="G39" s="65"/>
      <c r="H39" s="81"/>
      <c r="I39" s="79"/>
      <c r="J39" s="65"/>
      <c r="K39" s="46"/>
      <c r="L39" s="63"/>
      <c r="M39" s="46"/>
      <c r="N39" s="15"/>
      <c r="O39" s="15"/>
      <c r="P39" s="63"/>
      <c r="Y39" s="13" t="s">
        <v>94</v>
      </c>
    </row>
    <row r="40" ht="14.25" customHeight="1">
      <c r="A40" s="68">
        <v>13.0</v>
      </c>
      <c r="B40" s="96"/>
      <c r="C40" s="97"/>
      <c r="D40" s="90" t="s">
        <v>74</v>
      </c>
      <c r="E40" s="72"/>
      <c r="F40" s="72"/>
      <c r="G40" s="72"/>
      <c r="H40" s="73"/>
      <c r="I40" s="91"/>
      <c r="J40" s="92">
        <f>I40*B40</f>
        <v>0</v>
      </c>
      <c r="K40" s="93"/>
      <c r="L40" s="7"/>
      <c r="M40" s="77"/>
      <c r="N40" s="6"/>
      <c r="O40" s="6"/>
      <c r="P40" s="7"/>
      <c r="Y40" s="13" t="s">
        <v>95</v>
      </c>
    </row>
    <row r="41" ht="14.25" customHeight="1">
      <c r="B41" s="78"/>
      <c r="C41" s="79"/>
      <c r="D41" s="80"/>
      <c r="E41" s="65"/>
      <c r="F41" s="65"/>
      <c r="G41" s="65"/>
      <c r="H41" s="81"/>
      <c r="I41" s="79"/>
      <c r="J41" s="65"/>
      <c r="K41" s="46"/>
      <c r="L41" s="63"/>
      <c r="M41" s="46"/>
      <c r="N41" s="15"/>
      <c r="O41" s="15"/>
      <c r="P41" s="63"/>
      <c r="Y41" s="13" t="s">
        <v>96</v>
      </c>
    </row>
    <row r="42" ht="12.0" customHeight="1">
      <c r="A42" s="68">
        <v>14.0</v>
      </c>
      <c r="B42" s="96"/>
      <c r="C42" s="97"/>
      <c r="D42" s="90" t="s">
        <v>74</v>
      </c>
      <c r="E42" s="72"/>
      <c r="F42" s="72"/>
      <c r="G42" s="72"/>
      <c r="H42" s="73"/>
      <c r="I42" s="91"/>
      <c r="J42" s="92">
        <f>I42*B42</f>
        <v>0</v>
      </c>
      <c r="K42" s="93"/>
      <c r="L42" s="7"/>
      <c r="M42" s="77"/>
      <c r="N42" s="6"/>
      <c r="O42" s="6"/>
      <c r="P42" s="7"/>
      <c r="Y42" s="13" t="s">
        <v>97</v>
      </c>
    </row>
    <row r="43" ht="12.0" customHeight="1">
      <c r="B43" s="78"/>
      <c r="C43" s="79"/>
      <c r="D43" s="80"/>
      <c r="E43" s="65"/>
      <c r="F43" s="65"/>
      <c r="G43" s="65"/>
      <c r="H43" s="81"/>
      <c r="I43" s="79"/>
      <c r="J43" s="65"/>
      <c r="K43" s="46"/>
      <c r="L43" s="63"/>
      <c r="M43" s="46"/>
      <c r="N43" s="15"/>
      <c r="O43" s="15"/>
      <c r="P43" s="63"/>
      <c r="Y43" s="13" t="s">
        <v>98</v>
      </c>
    </row>
    <row r="44" ht="12.0" customHeight="1">
      <c r="A44" s="68">
        <v>15.0</v>
      </c>
      <c r="B44" s="96"/>
      <c r="C44" s="97"/>
      <c r="D44" s="90" t="s">
        <v>74</v>
      </c>
      <c r="E44" s="72"/>
      <c r="F44" s="72"/>
      <c r="G44" s="72"/>
      <c r="H44" s="73"/>
      <c r="I44" s="91"/>
      <c r="J44" s="92">
        <f>I44*B44</f>
        <v>0</v>
      </c>
      <c r="K44" s="93"/>
      <c r="L44" s="7"/>
      <c r="M44" s="77"/>
      <c r="N44" s="6"/>
      <c r="O44" s="6"/>
      <c r="P44" s="7"/>
      <c r="Y44" s="13" t="s">
        <v>99</v>
      </c>
    </row>
    <row r="45" ht="12.0" customHeight="1">
      <c r="B45" s="78"/>
      <c r="C45" s="79"/>
      <c r="D45" s="80"/>
      <c r="E45" s="65"/>
      <c r="F45" s="65"/>
      <c r="G45" s="65"/>
      <c r="H45" s="81"/>
      <c r="I45" s="79"/>
      <c r="J45" s="65"/>
      <c r="K45" s="46"/>
      <c r="L45" s="63"/>
      <c r="M45" s="46"/>
      <c r="N45" s="15"/>
      <c r="O45" s="15"/>
      <c r="P45" s="63"/>
      <c r="Y45" s="13" t="s">
        <v>100</v>
      </c>
    </row>
    <row r="46" ht="12.0" customHeight="1">
      <c r="A46" s="68">
        <v>16.0</v>
      </c>
      <c r="B46" s="96"/>
      <c r="C46" s="97"/>
      <c r="D46" s="90" t="s">
        <v>74</v>
      </c>
      <c r="E46" s="72"/>
      <c r="F46" s="72"/>
      <c r="G46" s="72"/>
      <c r="H46" s="73"/>
      <c r="I46" s="91"/>
      <c r="J46" s="92">
        <f>I46*B46</f>
        <v>0</v>
      </c>
      <c r="K46" s="93"/>
      <c r="L46" s="7"/>
      <c r="M46" s="77"/>
      <c r="N46" s="6"/>
      <c r="O46" s="6"/>
      <c r="P46" s="7"/>
      <c r="Y46" s="13" t="s">
        <v>101</v>
      </c>
    </row>
    <row r="47" ht="12.0" customHeight="1">
      <c r="B47" s="78"/>
      <c r="C47" s="79"/>
      <c r="D47" s="80"/>
      <c r="E47" s="65"/>
      <c r="F47" s="65"/>
      <c r="G47" s="65"/>
      <c r="H47" s="81"/>
      <c r="I47" s="79"/>
      <c r="J47" s="65"/>
      <c r="K47" s="46"/>
      <c r="L47" s="63"/>
      <c r="M47" s="46"/>
      <c r="N47" s="15"/>
      <c r="O47" s="15"/>
      <c r="P47" s="63"/>
      <c r="Y47" s="13" t="s">
        <v>102</v>
      </c>
    </row>
    <row r="48" ht="12.0" customHeight="1">
      <c r="A48" s="68">
        <v>17.0</v>
      </c>
      <c r="B48" s="96"/>
      <c r="C48" s="97"/>
      <c r="D48" s="90" t="s">
        <v>74</v>
      </c>
      <c r="E48" s="72"/>
      <c r="F48" s="72"/>
      <c r="G48" s="72"/>
      <c r="H48" s="73"/>
      <c r="I48" s="91"/>
      <c r="J48" s="92">
        <f>I48*B48</f>
        <v>0</v>
      </c>
      <c r="K48" s="93"/>
      <c r="L48" s="7"/>
      <c r="M48" s="77"/>
      <c r="N48" s="6"/>
      <c r="O48" s="6"/>
      <c r="P48" s="7"/>
      <c r="Y48" s="13" t="s">
        <v>103</v>
      </c>
    </row>
    <row r="49" ht="12.0" customHeight="1">
      <c r="B49" s="78"/>
      <c r="C49" s="79"/>
      <c r="D49" s="80"/>
      <c r="E49" s="65"/>
      <c r="F49" s="65"/>
      <c r="G49" s="65"/>
      <c r="H49" s="81"/>
      <c r="I49" s="79"/>
      <c r="J49" s="65"/>
      <c r="K49" s="46"/>
      <c r="L49" s="63"/>
      <c r="M49" s="46"/>
      <c r="N49" s="15"/>
      <c r="O49" s="15"/>
      <c r="P49" s="63"/>
      <c r="Y49" s="13" t="s">
        <v>104</v>
      </c>
    </row>
    <row r="50" ht="12.0" customHeight="1">
      <c r="A50" s="68">
        <v>18.0</v>
      </c>
      <c r="B50" s="96"/>
      <c r="C50" s="97"/>
      <c r="D50" s="90" t="s">
        <v>74</v>
      </c>
      <c r="E50" s="72"/>
      <c r="F50" s="72"/>
      <c r="G50" s="72"/>
      <c r="H50" s="73"/>
      <c r="I50" s="91"/>
      <c r="J50" s="92">
        <f>I50*B50</f>
        <v>0</v>
      </c>
      <c r="K50" s="93"/>
      <c r="L50" s="7"/>
      <c r="M50" s="77"/>
      <c r="N50" s="6"/>
      <c r="O50" s="6"/>
      <c r="P50" s="7"/>
      <c r="Y50" s="13" t="s">
        <v>105</v>
      </c>
    </row>
    <row r="51" ht="12.0" customHeight="1">
      <c r="B51" s="78"/>
      <c r="C51" s="79"/>
      <c r="D51" s="80"/>
      <c r="E51" s="65"/>
      <c r="F51" s="65"/>
      <c r="G51" s="65"/>
      <c r="H51" s="81"/>
      <c r="I51" s="79"/>
      <c r="J51" s="65"/>
      <c r="K51" s="46"/>
      <c r="L51" s="63"/>
      <c r="M51" s="46"/>
      <c r="N51" s="15"/>
      <c r="O51" s="15"/>
      <c r="P51" s="63"/>
      <c r="Y51" s="13" t="s">
        <v>106</v>
      </c>
    </row>
    <row r="52" ht="12.0" customHeight="1">
      <c r="A52" s="68">
        <v>19.0</v>
      </c>
      <c r="B52" s="96"/>
      <c r="C52" s="97"/>
      <c r="D52" s="90" t="s">
        <v>74</v>
      </c>
      <c r="E52" s="72"/>
      <c r="F52" s="72"/>
      <c r="G52" s="72"/>
      <c r="H52" s="73"/>
      <c r="I52" s="91"/>
      <c r="J52" s="92">
        <f>I52*B52</f>
        <v>0</v>
      </c>
      <c r="K52" s="93"/>
      <c r="L52" s="7"/>
      <c r="M52" s="77"/>
      <c r="N52" s="6"/>
      <c r="O52" s="6"/>
      <c r="P52" s="7"/>
      <c r="Y52" s="13" t="s">
        <v>107</v>
      </c>
    </row>
    <row r="53" ht="12.0" customHeight="1">
      <c r="B53" s="78"/>
      <c r="C53" s="79"/>
      <c r="D53" s="80"/>
      <c r="E53" s="65"/>
      <c r="F53" s="65"/>
      <c r="G53" s="65"/>
      <c r="H53" s="81"/>
      <c r="I53" s="79"/>
      <c r="J53" s="65"/>
      <c r="K53" s="46"/>
      <c r="L53" s="63"/>
      <c r="M53" s="46"/>
      <c r="N53" s="15"/>
      <c r="O53" s="15"/>
      <c r="P53" s="63"/>
      <c r="Y53" s="13" t="s">
        <v>108</v>
      </c>
    </row>
    <row r="54" ht="12.0" customHeight="1">
      <c r="A54" s="68">
        <v>20.0</v>
      </c>
      <c r="B54" s="96"/>
      <c r="C54" s="97"/>
      <c r="D54" s="90" t="s">
        <v>74</v>
      </c>
      <c r="E54" s="72"/>
      <c r="F54" s="72"/>
      <c r="G54" s="72"/>
      <c r="H54" s="73"/>
      <c r="I54" s="91"/>
      <c r="J54" s="92">
        <f>I54*B54</f>
        <v>0</v>
      </c>
      <c r="K54" s="93"/>
      <c r="L54" s="7"/>
      <c r="M54" s="77"/>
      <c r="N54" s="6"/>
      <c r="O54" s="6"/>
      <c r="P54" s="7"/>
      <c r="Y54" s="13" t="s">
        <v>109</v>
      </c>
    </row>
    <row r="55" ht="12.0" customHeight="1">
      <c r="B55" s="78"/>
      <c r="C55" s="79"/>
      <c r="D55" s="80"/>
      <c r="E55" s="65"/>
      <c r="F55" s="65"/>
      <c r="G55" s="65"/>
      <c r="H55" s="81"/>
      <c r="I55" s="79"/>
      <c r="J55" s="65"/>
      <c r="K55" s="46"/>
      <c r="L55" s="63"/>
      <c r="M55" s="46"/>
      <c r="N55" s="15"/>
      <c r="O55" s="15"/>
      <c r="P55" s="63"/>
      <c r="Y55" s="13" t="s">
        <v>110</v>
      </c>
    </row>
    <row r="56" ht="12.0" customHeight="1">
      <c r="A56" s="68">
        <v>21.0</v>
      </c>
      <c r="B56" s="96"/>
      <c r="C56" s="97"/>
      <c r="D56" s="90" t="s">
        <v>74</v>
      </c>
      <c r="E56" s="72"/>
      <c r="F56" s="72"/>
      <c r="G56" s="72"/>
      <c r="H56" s="73"/>
      <c r="I56" s="91"/>
      <c r="J56" s="92">
        <f>I56*B56</f>
        <v>0</v>
      </c>
      <c r="K56" s="93"/>
      <c r="L56" s="7"/>
      <c r="M56" s="77"/>
      <c r="N56" s="6"/>
      <c r="O56" s="6"/>
      <c r="P56" s="7"/>
      <c r="Y56" s="13" t="s">
        <v>111</v>
      </c>
    </row>
    <row r="57" ht="12.0" customHeight="1">
      <c r="B57" s="78"/>
      <c r="C57" s="79"/>
      <c r="D57" s="80"/>
      <c r="E57" s="65"/>
      <c r="F57" s="65"/>
      <c r="G57" s="65"/>
      <c r="H57" s="81"/>
      <c r="I57" s="79"/>
      <c r="J57" s="65"/>
      <c r="K57" s="46"/>
      <c r="L57" s="63"/>
      <c r="M57" s="46"/>
      <c r="N57" s="15"/>
      <c r="O57" s="15"/>
      <c r="P57" s="63"/>
      <c r="Y57" s="13" t="s">
        <v>112</v>
      </c>
    </row>
    <row r="58" ht="12.0" customHeight="1">
      <c r="A58" s="68">
        <v>22.0</v>
      </c>
      <c r="B58" s="96"/>
      <c r="C58" s="97"/>
      <c r="D58" s="90" t="s">
        <v>74</v>
      </c>
      <c r="E58" s="72"/>
      <c r="F58" s="72"/>
      <c r="G58" s="72"/>
      <c r="H58" s="73"/>
      <c r="I58" s="91"/>
      <c r="J58" s="92">
        <f>I58*B58</f>
        <v>0</v>
      </c>
      <c r="K58" s="93"/>
      <c r="L58" s="7"/>
      <c r="M58" s="77"/>
      <c r="N58" s="6"/>
      <c r="O58" s="6"/>
      <c r="P58" s="7"/>
      <c r="Y58" s="13" t="s">
        <v>113</v>
      </c>
    </row>
    <row r="59" ht="12.0" customHeight="1">
      <c r="B59" s="78"/>
      <c r="C59" s="79"/>
      <c r="D59" s="80"/>
      <c r="E59" s="65"/>
      <c r="F59" s="65"/>
      <c r="G59" s="65"/>
      <c r="H59" s="81"/>
      <c r="I59" s="79"/>
      <c r="J59" s="65"/>
      <c r="K59" s="46"/>
      <c r="L59" s="63"/>
      <c r="M59" s="46"/>
      <c r="N59" s="15"/>
      <c r="O59" s="15"/>
      <c r="P59" s="63"/>
      <c r="Y59" s="13" t="s">
        <v>114</v>
      </c>
    </row>
    <row r="60" ht="12.0" customHeight="1">
      <c r="A60" s="68">
        <v>23.0</v>
      </c>
      <c r="B60" s="96"/>
      <c r="C60" s="97"/>
      <c r="D60" s="90" t="s">
        <v>74</v>
      </c>
      <c r="E60" s="72"/>
      <c r="F60" s="72"/>
      <c r="G60" s="72"/>
      <c r="H60" s="73"/>
      <c r="I60" s="91"/>
      <c r="J60" s="92">
        <f>I60*B60</f>
        <v>0</v>
      </c>
      <c r="K60" s="93"/>
      <c r="L60" s="7"/>
      <c r="M60" s="77"/>
      <c r="N60" s="6"/>
      <c r="O60" s="6"/>
      <c r="P60" s="7"/>
      <c r="Y60" s="13" t="s">
        <v>115</v>
      </c>
    </row>
    <row r="61" ht="12.0" customHeight="1">
      <c r="B61" s="78"/>
      <c r="C61" s="79"/>
      <c r="D61" s="80"/>
      <c r="E61" s="65"/>
      <c r="F61" s="65"/>
      <c r="G61" s="65"/>
      <c r="H61" s="81"/>
      <c r="I61" s="79"/>
      <c r="J61" s="65"/>
      <c r="K61" s="46"/>
      <c r="L61" s="63"/>
      <c r="M61" s="46"/>
      <c r="N61" s="15"/>
      <c r="O61" s="15"/>
      <c r="P61" s="63"/>
      <c r="Y61" s="13" t="s">
        <v>116</v>
      </c>
    </row>
    <row r="62" ht="12.0" customHeight="1">
      <c r="A62" s="68">
        <v>24.0</v>
      </c>
      <c r="B62" s="96"/>
      <c r="C62" s="97"/>
      <c r="D62" s="90" t="s">
        <v>74</v>
      </c>
      <c r="E62" s="72"/>
      <c r="F62" s="72"/>
      <c r="G62" s="72"/>
      <c r="H62" s="73"/>
      <c r="I62" s="91"/>
      <c r="J62" s="92">
        <f>I62*B62</f>
        <v>0</v>
      </c>
      <c r="K62" s="93"/>
      <c r="L62" s="7"/>
      <c r="M62" s="77"/>
      <c r="N62" s="6"/>
      <c r="O62" s="6"/>
      <c r="P62" s="7"/>
      <c r="Y62" s="13" t="s">
        <v>117</v>
      </c>
    </row>
    <row r="63" ht="12.0" customHeight="1">
      <c r="B63" s="78"/>
      <c r="C63" s="79"/>
      <c r="D63" s="80"/>
      <c r="E63" s="65"/>
      <c r="F63" s="65"/>
      <c r="G63" s="65"/>
      <c r="H63" s="81"/>
      <c r="I63" s="79"/>
      <c r="J63" s="65"/>
      <c r="K63" s="46"/>
      <c r="L63" s="63"/>
      <c r="M63" s="46"/>
      <c r="N63" s="15"/>
      <c r="O63" s="15"/>
      <c r="P63" s="63"/>
      <c r="Y63" s="13" t="s">
        <v>118</v>
      </c>
    </row>
    <row r="64" ht="12.0" customHeight="1">
      <c r="A64" s="68">
        <v>25.0</v>
      </c>
      <c r="B64" s="96"/>
      <c r="C64" s="97"/>
      <c r="D64" s="90" t="s">
        <v>74</v>
      </c>
      <c r="E64" s="72"/>
      <c r="F64" s="72"/>
      <c r="G64" s="72"/>
      <c r="H64" s="73"/>
      <c r="I64" s="91"/>
      <c r="J64" s="92">
        <f>I64*B64</f>
        <v>0</v>
      </c>
      <c r="K64" s="93"/>
      <c r="L64" s="7"/>
      <c r="M64" s="77"/>
      <c r="N64" s="6"/>
      <c r="O64" s="6"/>
      <c r="P64" s="7"/>
      <c r="Y64" s="13" t="s">
        <v>119</v>
      </c>
    </row>
    <row r="65" ht="12.0" customHeight="1">
      <c r="B65" s="78"/>
      <c r="C65" s="79"/>
      <c r="D65" s="80"/>
      <c r="E65" s="65"/>
      <c r="F65" s="65"/>
      <c r="G65" s="65"/>
      <c r="H65" s="81"/>
      <c r="I65" s="79"/>
      <c r="J65" s="65"/>
      <c r="K65" s="46"/>
      <c r="L65" s="63"/>
      <c r="M65" s="46"/>
      <c r="N65" s="15"/>
      <c r="O65" s="15"/>
      <c r="P65" s="63"/>
      <c r="Y65" s="13" t="s">
        <v>120</v>
      </c>
    </row>
    <row r="66" ht="12.0" customHeight="1">
      <c r="A66" s="68">
        <v>26.0</v>
      </c>
      <c r="B66" s="96"/>
      <c r="C66" s="97"/>
      <c r="D66" s="90" t="s">
        <v>74</v>
      </c>
      <c r="E66" s="72"/>
      <c r="F66" s="72"/>
      <c r="G66" s="72"/>
      <c r="H66" s="73"/>
      <c r="I66" s="91"/>
      <c r="J66" s="92">
        <f>I66*B66</f>
        <v>0</v>
      </c>
      <c r="K66" s="93"/>
      <c r="L66" s="7"/>
      <c r="M66" s="77"/>
      <c r="N66" s="6"/>
      <c r="O66" s="6"/>
      <c r="P66" s="7"/>
      <c r="Y66" s="13" t="s">
        <v>121</v>
      </c>
    </row>
    <row r="67" ht="12.0" customHeight="1">
      <c r="B67" s="78"/>
      <c r="C67" s="79"/>
      <c r="D67" s="80"/>
      <c r="E67" s="65"/>
      <c r="F67" s="65"/>
      <c r="G67" s="65"/>
      <c r="H67" s="81"/>
      <c r="I67" s="79"/>
      <c r="J67" s="65"/>
      <c r="K67" s="46"/>
      <c r="L67" s="63"/>
      <c r="M67" s="46"/>
      <c r="N67" s="15"/>
      <c r="O67" s="15"/>
      <c r="P67" s="63"/>
      <c r="Y67" s="13" t="s">
        <v>122</v>
      </c>
    </row>
    <row r="68" ht="12.0" customHeight="1">
      <c r="A68" s="68">
        <v>27.0</v>
      </c>
      <c r="B68" s="96"/>
      <c r="C68" s="97"/>
      <c r="D68" s="90" t="s">
        <v>74</v>
      </c>
      <c r="E68" s="72"/>
      <c r="F68" s="72"/>
      <c r="G68" s="72"/>
      <c r="H68" s="73"/>
      <c r="I68" s="91"/>
      <c r="J68" s="92">
        <f>I68*B68</f>
        <v>0</v>
      </c>
      <c r="K68" s="93"/>
      <c r="L68" s="7"/>
      <c r="M68" s="77"/>
      <c r="N68" s="6"/>
      <c r="O68" s="6"/>
      <c r="P68" s="7"/>
      <c r="Y68" s="13" t="s">
        <v>123</v>
      </c>
    </row>
    <row r="69" ht="12.0" customHeight="1">
      <c r="B69" s="78"/>
      <c r="C69" s="79"/>
      <c r="D69" s="80"/>
      <c r="E69" s="65"/>
      <c r="F69" s="65"/>
      <c r="G69" s="65"/>
      <c r="H69" s="81"/>
      <c r="I69" s="79"/>
      <c r="J69" s="65"/>
      <c r="K69" s="46"/>
      <c r="L69" s="63"/>
      <c r="M69" s="46"/>
      <c r="N69" s="15"/>
      <c r="O69" s="15"/>
      <c r="P69" s="63"/>
      <c r="Y69" s="13" t="s">
        <v>124</v>
      </c>
    </row>
    <row r="70" ht="12.0" customHeight="1">
      <c r="A70" s="68">
        <v>28.0</v>
      </c>
      <c r="B70" s="96"/>
      <c r="C70" s="97"/>
      <c r="D70" s="90" t="s">
        <v>74</v>
      </c>
      <c r="E70" s="72"/>
      <c r="F70" s="72"/>
      <c r="G70" s="72"/>
      <c r="H70" s="73"/>
      <c r="I70" s="91"/>
      <c r="J70" s="92">
        <f>I70*B70</f>
        <v>0</v>
      </c>
      <c r="K70" s="93"/>
      <c r="L70" s="7"/>
      <c r="M70" s="77"/>
      <c r="N70" s="6"/>
      <c r="O70" s="6"/>
      <c r="P70" s="7"/>
      <c r="Y70" s="13" t="s">
        <v>125</v>
      </c>
    </row>
    <row r="71" ht="12.0" customHeight="1">
      <c r="B71" s="78"/>
      <c r="C71" s="79"/>
      <c r="D71" s="80"/>
      <c r="E71" s="65"/>
      <c r="F71" s="65"/>
      <c r="G71" s="65"/>
      <c r="H71" s="81"/>
      <c r="I71" s="79"/>
      <c r="J71" s="65"/>
      <c r="K71" s="46"/>
      <c r="L71" s="63"/>
      <c r="M71" s="46"/>
      <c r="N71" s="15"/>
      <c r="O71" s="15"/>
      <c r="P71" s="63"/>
      <c r="Y71" s="13" t="s">
        <v>126</v>
      </c>
    </row>
    <row r="72" ht="12.0" customHeight="1">
      <c r="A72" s="68">
        <v>29.0</v>
      </c>
      <c r="B72" s="96"/>
      <c r="C72" s="97"/>
      <c r="D72" s="90" t="s">
        <v>74</v>
      </c>
      <c r="E72" s="72"/>
      <c r="F72" s="72"/>
      <c r="G72" s="72"/>
      <c r="H72" s="73"/>
      <c r="I72" s="91"/>
      <c r="J72" s="92">
        <f>I72*B72</f>
        <v>0</v>
      </c>
      <c r="K72" s="93"/>
      <c r="L72" s="7"/>
      <c r="M72" s="77"/>
      <c r="N72" s="6"/>
      <c r="O72" s="6"/>
      <c r="P72" s="7"/>
      <c r="Y72" s="13" t="s">
        <v>127</v>
      </c>
    </row>
    <row r="73" ht="12.0" customHeight="1">
      <c r="B73" s="78"/>
      <c r="C73" s="79"/>
      <c r="D73" s="80"/>
      <c r="E73" s="65"/>
      <c r="F73" s="65"/>
      <c r="G73" s="65"/>
      <c r="H73" s="81"/>
      <c r="I73" s="79"/>
      <c r="J73" s="65"/>
      <c r="K73" s="46"/>
      <c r="L73" s="63"/>
      <c r="M73" s="46"/>
      <c r="N73" s="15"/>
      <c r="O73" s="15"/>
      <c r="P73" s="63"/>
      <c r="Y73" s="13" t="s">
        <v>128</v>
      </c>
    </row>
    <row r="74" ht="12.0" customHeight="1">
      <c r="A74" s="68">
        <v>30.0</v>
      </c>
      <c r="B74" s="96"/>
      <c r="C74" s="97"/>
      <c r="D74" s="90" t="s">
        <v>74</v>
      </c>
      <c r="E74" s="72"/>
      <c r="F74" s="72"/>
      <c r="G74" s="72"/>
      <c r="H74" s="73"/>
      <c r="I74" s="91"/>
      <c r="J74" s="92">
        <f>I74*B74</f>
        <v>0</v>
      </c>
      <c r="K74" s="93"/>
      <c r="L74" s="7"/>
      <c r="M74" s="77"/>
      <c r="N74" s="6"/>
      <c r="O74" s="6"/>
      <c r="P74" s="7"/>
      <c r="Y74" s="13" t="s">
        <v>129</v>
      </c>
    </row>
    <row r="75" ht="12.0" customHeight="1">
      <c r="B75" s="78"/>
      <c r="C75" s="79"/>
      <c r="D75" s="80"/>
      <c r="E75" s="65"/>
      <c r="F75" s="65"/>
      <c r="G75" s="65"/>
      <c r="H75" s="81"/>
      <c r="I75" s="79"/>
      <c r="J75" s="65"/>
      <c r="K75" s="46"/>
      <c r="L75" s="63"/>
      <c r="M75" s="46"/>
      <c r="N75" s="15"/>
      <c r="O75" s="15"/>
      <c r="P75" s="63"/>
      <c r="Y75" s="13" t="s">
        <v>130</v>
      </c>
    </row>
    <row r="76" ht="12.0" customHeight="1">
      <c r="A76" s="68">
        <v>31.0</v>
      </c>
      <c r="B76" s="96"/>
      <c r="C76" s="97"/>
      <c r="D76" s="90" t="s">
        <v>74</v>
      </c>
      <c r="E76" s="72"/>
      <c r="F76" s="72"/>
      <c r="G76" s="72"/>
      <c r="H76" s="73"/>
      <c r="I76" s="91"/>
      <c r="J76" s="92">
        <f>I76*B76</f>
        <v>0</v>
      </c>
      <c r="K76" s="93"/>
      <c r="L76" s="7"/>
      <c r="M76" s="77"/>
      <c r="N76" s="6"/>
      <c r="O76" s="6"/>
      <c r="P76" s="7"/>
      <c r="Y76" s="13" t="s">
        <v>131</v>
      </c>
    </row>
    <row r="77" ht="12.0" customHeight="1">
      <c r="B77" s="78"/>
      <c r="C77" s="79"/>
      <c r="D77" s="80"/>
      <c r="E77" s="65"/>
      <c r="F77" s="65"/>
      <c r="G77" s="65"/>
      <c r="H77" s="81"/>
      <c r="I77" s="79"/>
      <c r="J77" s="65"/>
      <c r="K77" s="46"/>
      <c r="L77" s="63"/>
      <c r="M77" s="46"/>
      <c r="N77" s="15"/>
      <c r="O77" s="15"/>
      <c r="P77" s="63"/>
      <c r="Y77" s="13" t="s">
        <v>132</v>
      </c>
    </row>
    <row r="78" ht="12.0" customHeight="1">
      <c r="A78" s="68">
        <v>32.0</v>
      </c>
      <c r="B78" s="96"/>
      <c r="C78" s="97"/>
      <c r="D78" s="90" t="s">
        <v>74</v>
      </c>
      <c r="E78" s="72"/>
      <c r="F78" s="72"/>
      <c r="G78" s="72"/>
      <c r="H78" s="73"/>
      <c r="I78" s="91"/>
      <c r="J78" s="92">
        <f>I78*B78</f>
        <v>0</v>
      </c>
      <c r="K78" s="93"/>
      <c r="L78" s="7"/>
      <c r="M78" s="77"/>
      <c r="N78" s="6"/>
      <c r="O78" s="6"/>
      <c r="P78" s="7"/>
      <c r="Y78" s="13" t="s">
        <v>133</v>
      </c>
    </row>
    <row r="79" ht="12.0" customHeight="1">
      <c r="B79" s="78"/>
      <c r="C79" s="79"/>
      <c r="D79" s="80"/>
      <c r="E79" s="65"/>
      <c r="F79" s="65"/>
      <c r="G79" s="65"/>
      <c r="H79" s="81"/>
      <c r="I79" s="79"/>
      <c r="J79" s="65"/>
      <c r="K79" s="46"/>
      <c r="L79" s="63"/>
      <c r="M79" s="46"/>
      <c r="N79" s="15"/>
      <c r="O79" s="15"/>
      <c r="P79" s="63"/>
      <c r="Y79" s="13" t="s">
        <v>134</v>
      </c>
    </row>
    <row r="80" ht="12.0" customHeight="1">
      <c r="A80" s="68">
        <v>33.0</v>
      </c>
      <c r="B80" s="96"/>
      <c r="C80" s="97"/>
      <c r="D80" s="90" t="s">
        <v>74</v>
      </c>
      <c r="E80" s="72"/>
      <c r="F80" s="72"/>
      <c r="G80" s="72"/>
      <c r="H80" s="73"/>
      <c r="I80" s="91"/>
      <c r="J80" s="92">
        <f>I80*B80</f>
        <v>0</v>
      </c>
      <c r="K80" s="93"/>
      <c r="L80" s="7"/>
      <c r="M80" s="77"/>
      <c r="N80" s="6"/>
      <c r="O80" s="6"/>
      <c r="P80" s="7"/>
      <c r="Y80" s="13" t="s">
        <v>135</v>
      </c>
    </row>
    <row r="81" ht="12.0" customHeight="1">
      <c r="B81" s="78"/>
      <c r="C81" s="79"/>
      <c r="D81" s="80"/>
      <c r="E81" s="65"/>
      <c r="F81" s="65"/>
      <c r="G81" s="65"/>
      <c r="H81" s="81"/>
      <c r="I81" s="79"/>
      <c r="J81" s="65"/>
      <c r="K81" s="46"/>
      <c r="L81" s="63"/>
      <c r="M81" s="46"/>
      <c r="N81" s="15"/>
      <c r="O81" s="15"/>
      <c r="P81" s="63"/>
      <c r="Y81" s="13" t="s">
        <v>136</v>
      </c>
    </row>
    <row r="82" ht="12.0" customHeight="1">
      <c r="A82" s="68">
        <v>34.0</v>
      </c>
      <c r="B82" s="96"/>
      <c r="C82" s="97"/>
      <c r="D82" s="90" t="s">
        <v>74</v>
      </c>
      <c r="E82" s="72"/>
      <c r="F82" s="72"/>
      <c r="G82" s="72"/>
      <c r="H82" s="73"/>
      <c r="I82" s="91"/>
      <c r="J82" s="92">
        <f>I82*B82</f>
        <v>0</v>
      </c>
      <c r="K82" s="93"/>
      <c r="L82" s="7"/>
      <c r="M82" s="77"/>
      <c r="N82" s="6"/>
      <c r="O82" s="6"/>
      <c r="P82" s="7"/>
      <c r="Y82" s="13" t="s">
        <v>137</v>
      </c>
    </row>
    <row r="83" ht="12.0" customHeight="1">
      <c r="B83" s="78"/>
      <c r="C83" s="79"/>
      <c r="D83" s="80"/>
      <c r="E83" s="65"/>
      <c r="F83" s="65"/>
      <c r="G83" s="65"/>
      <c r="H83" s="81"/>
      <c r="I83" s="79"/>
      <c r="J83" s="65"/>
      <c r="K83" s="46"/>
      <c r="L83" s="63"/>
      <c r="M83" s="46"/>
      <c r="N83" s="15"/>
      <c r="O83" s="15"/>
      <c r="P83" s="63"/>
      <c r="Y83" s="13" t="s">
        <v>138</v>
      </c>
    </row>
    <row r="84" ht="12.0" customHeight="1">
      <c r="A84" s="68">
        <v>35.0</v>
      </c>
      <c r="B84" s="96"/>
      <c r="C84" s="97"/>
      <c r="D84" s="90" t="s">
        <v>74</v>
      </c>
      <c r="E84" s="72"/>
      <c r="F84" s="72"/>
      <c r="G84" s="72"/>
      <c r="H84" s="73"/>
      <c r="I84" s="91"/>
      <c r="J84" s="92">
        <f>I84*B84</f>
        <v>0</v>
      </c>
      <c r="K84" s="93"/>
      <c r="L84" s="7"/>
      <c r="M84" s="77"/>
      <c r="N84" s="6"/>
      <c r="O84" s="6"/>
      <c r="P84" s="7"/>
      <c r="Y84" s="13" t="s">
        <v>139</v>
      </c>
    </row>
    <row r="85" ht="12.0" customHeight="1">
      <c r="B85" s="78"/>
      <c r="C85" s="79"/>
      <c r="D85" s="80"/>
      <c r="E85" s="65"/>
      <c r="F85" s="65"/>
      <c r="G85" s="65"/>
      <c r="H85" s="81"/>
      <c r="I85" s="79"/>
      <c r="J85" s="65"/>
      <c r="K85" s="46"/>
      <c r="L85" s="63"/>
      <c r="M85" s="46"/>
      <c r="N85" s="15"/>
      <c r="O85" s="15"/>
      <c r="P85" s="63"/>
      <c r="Y85" s="13" t="s">
        <v>140</v>
      </c>
    </row>
    <row r="86" ht="12.0" customHeight="1">
      <c r="A86" s="68">
        <v>36.0</v>
      </c>
      <c r="B86" s="96"/>
      <c r="C86" s="97"/>
      <c r="D86" s="90" t="s">
        <v>74</v>
      </c>
      <c r="E86" s="72"/>
      <c r="F86" s="72"/>
      <c r="G86" s="72"/>
      <c r="H86" s="73"/>
      <c r="I86" s="91"/>
      <c r="J86" s="92">
        <f>I86*B86</f>
        <v>0</v>
      </c>
      <c r="K86" s="93"/>
      <c r="L86" s="7"/>
      <c r="M86" s="77"/>
      <c r="N86" s="6"/>
      <c r="O86" s="6"/>
      <c r="P86" s="7"/>
      <c r="Y86" s="13" t="s">
        <v>141</v>
      </c>
    </row>
    <row r="87" ht="12.0" customHeight="1">
      <c r="B87" s="78"/>
      <c r="C87" s="79"/>
      <c r="D87" s="80"/>
      <c r="E87" s="65"/>
      <c r="F87" s="65"/>
      <c r="G87" s="65"/>
      <c r="H87" s="81"/>
      <c r="I87" s="79"/>
      <c r="J87" s="65"/>
      <c r="K87" s="46"/>
      <c r="L87" s="63"/>
      <c r="M87" s="46"/>
      <c r="N87" s="15"/>
      <c r="O87" s="15"/>
      <c r="P87" s="63"/>
      <c r="Y87" s="13" t="s">
        <v>142</v>
      </c>
    </row>
    <row r="88" ht="12.0" customHeight="1">
      <c r="A88" s="68">
        <v>37.0</v>
      </c>
      <c r="B88" s="96"/>
      <c r="C88" s="97"/>
      <c r="D88" s="90" t="s">
        <v>74</v>
      </c>
      <c r="E88" s="72"/>
      <c r="F88" s="72"/>
      <c r="G88" s="72"/>
      <c r="H88" s="73"/>
      <c r="I88" s="91"/>
      <c r="J88" s="92">
        <f>I88*B88</f>
        <v>0</v>
      </c>
      <c r="K88" s="93"/>
      <c r="L88" s="7"/>
      <c r="M88" s="77"/>
      <c r="N88" s="6"/>
      <c r="O88" s="6"/>
      <c r="P88" s="7"/>
      <c r="Y88" s="13" t="s">
        <v>143</v>
      </c>
    </row>
    <row r="89" ht="12.0" customHeight="1">
      <c r="B89" s="78"/>
      <c r="C89" s="79"/>
      <c r="D89" s="80"/>
      <c r="E89" s="65"/>
      <c r="F89" s="65"/>
      <c r="G89" s="65"/>
      <c r="H89" s="81"/>
      <c r="I89" s="79"/>
      <c r="J89" s="65"/>
      <c r="K89" s="46"/>
      <c r="L89" s="63"/>
      <c r="M89" s="46"/>
      <c r="N89" s="15"/>
      <c r="O89" s="15"/>
      <c r="P89" s="63"/>
      <c r="Y89" s="13" t="s">
        <v>144</v>
      </c>
    </row>
    <row r="90" ht="12.0" customHeight="1">
      <c r="A90" s="68">
        <v>38.0</v>
      </c>
      <c r="B90" s="96"/>
      <c r="C90" s="97"/>
      <c r="D90" s="90" t="s">
        <v>74</v>
      </c>
      <c r="E90" s="72"/>
      <c r="F90" s="72"/>
      <c r="G90" s="72"/>
      <c r="H90" s="73"/>
      <c r="I90" s="91"/>
      <c r="J90" s="92">
        <f>I90*B90</f>
        <v>0</v>
      </c>
      <c r="K90" s="93"/>
      <c r="L90" s="7"/>
      <c r="M90" s="77"/>
      <c r="N90" s="6"/>
      <c r="O90" s="6"/>
      <c r="P90" s="7"/>
      <c r="Y90" s="13" t="s">
        <v>145</v>
      </c>
    </row>
    <row r="91" ht="12.0" customHeight="1">
      <c r="B91" s="78"/>
      <c r="C91" s="79"/>
      <c r="D91" s="80"/>
      <c r="E91" s="65"/>
      <c r="F91" s="65"/>
      <c r="G91" s="65"/>
      <c r="H91" s="81"/>
      <c r="I91" s="79"/>
      <c r="J91" s="65"/>
      <c r="K91" s="46"/>
      <c r="L91" s="63"/>
      <c r="M91" s="46"/>
      <c r="N91" s="15"/>
      <c r="O91" s="15"/>
      <c r="P91" s="63"/>
      <c r="Y91" s="13" t="s">
        <v>146</v>
      </c>
    </row>
    <row r="92" ht="12.0" customHeight="1">
      <c r="A92" s="68">
        <v>39.0</v>
      </c>
      <c r="B92" s="96"/>
      <c r="C92" s="97"/>
      <c r="D92" s="90" t="s">
        <v>74</v>
      </c>
      <c r="E92" s="72"/>
      <c r="F92" s="72"/>
      <c r="G92" s="72"/>
      <c r="H92" s="73"/>
      <c r="I92" s="91"/>
      <c r="J92" s="92">
        <f>I92*B92</f>
        <v>0</v>
      </c>
      <c r="K92" s="93"/>
      <c r="L92" s="7"/>
      <c r="M92" s="77"/>
      <c r="N92" s="6"/>
      <c r="O92" s="6"/>
      <c r="P92" s="7"/>
      <c r="Y92" s="13" t="s">
        <v>147</v>
      </c>
    </row>
    <row r="93" ht="12.0" customHeight="1">
      <c r="B93" s="78"/>
      <c r="C93" s="79"/>
      <c r="D93" s="80"/>
      <c r="E93" s="65"/>
      <c r="F93" s="65"/>
      <c r="G93" s="65"/>
      <c r="H93" s="81"/>
      <c r="I93" s="79"/>
      <c r="J93" s="65"/>
      <c r="K93" s="46"/>
      <c r="L93" s="63"/>
      <c r="M93" s="46"/>
      <c r="N93" s="15"/>
      <c r="O93" s="15"/>
      <c r="P93" s="63"/>
      <c r="Y93" s="13" t="s">
        <v>148</v>
      </c>
    </row>
    <row r="94" ht="12.0" customHeight="1">
      <c r="A94" s="68">
        <v>11.0</v>
      </c>
      <c r="B94" s="96"/>
      <c r="C94" s="97"/>
      <c r="D94" s="90" t="s">
        <v>74</v>
      </c>
      <c r="E94" s="72"/>
      <c r="F94" s="72"/>
      <c r="G94" s="72"/>
      <c r="H94" s="73"/>
      <c r="I94" s="91"/>
      <c r="J94" s="92">
        <f>I94*B94</f>
        <v>0</v>
      </c>
      <c r="K94" s="93"/>
      <c r="L94" s="7"/>
      <c r="M94" s="77"/>
      <c r="N94" s="6"/>
      <c r="O94" s="6"/>
      <c r="P94" s="7"/>
      <c r="Y94" s="13" t="s">
        <v>149</v>
      </c>
    </row>
    <row r="95" ht="12.0" customHeight="1">
      <c r="B95" s="78"/>
      <c r="C95" s="79"/>
      <c r="D95" s="80"/>
      <c r="E95" s="65"/>
      <c r="F95" s="65"/>
      <c r="G95" s="65"/>
      <c r="H95" s="81"/>
      <c r="I95" s="79"/>
      <c r="J95" s="65"/>
      <c r="K95" s="46"/>
      <c r="L95" s="63"/>
      <c r="M95" s="46"/>
      <c r="N95" s="15"/>
      <c r="O95" s="15"/>
      <c r="P95" s="63"/>
      <c r="Y95" s="13" t="s">
        <v>150</v>
      </c>
    </row>
    <row r="96" ht="12.0" customHeight="1">
      <c r="A96" s="68">
        <v>12.0</v>
      </c>
      <c r="B96" s="96"/>
      <c r="C96" s="97"/>
      <c r="D96" s="90" t="s">
        <v>74</v>
      </c>
      <c r="E96" s="72"/>
      <c r="F96" s="72"/>
      <c r="G96" s="72"/>
      <c r="H96" s="73"/>
      <c r="I96" s="91"/>
      <c r="J96" s="92">
        <f>I96*B96</f>
        <v>0</v>
      </c>
      <c r="K96" s="93"/>
      <c r="L96" s="7"/>
      <c r="M96" s="77"/>
      <c r="N96" s="6"/>
      <c r="O96" s="6"/>
      <c r="P96" s="7"/>
      <c r="Y96" s="13" t="s">
        <v>151</v>
      </c>
    </row>
    <row r="97" ht="12.0" customHeight="1">
      <c r="B97" s="78"/>
      <c r="C97" s="79"/>
      <c r="D97" s="80"/>
      <c r="E97" s="65"/>
      <c r="F97" s="65"/>
      <c r="G97" s="65"/>
      <c r="H97" s="81"/>
      <c r="I97" s="79"/>
      <c r="J97" s="65"/>
      <c r="K97" s="46"/>
      <c r="L97" s="63"/>
      <c r="M97" s="46"/>
      <c r="N97" s="15"/>
      <c r="O97" s="15"/>
      <c r="P97" s="63"/>
      <c r="Y97" s="13" t="s">
        <v>152</v>
      </c>
    </row>
    <row r="98" ht="12.0" customHeight="1">
      <c r="A98" s="68">
        <v>13.0</v>
      </c>
      <c r="B98" s="96"/>
      <c r="C98" s="97"/>
      <c r="D98" s="90" t="s">
        <v>74</v>
      </c>
      <c r="E98" s="72"/>
      <c r="F98" s="72"/>
      <c r="G98" s="72"/>
      <c r="H98" s="73"/>
      <c r="I98" s="91"/>
      <c r="J98" s="92">
        <f>I98*B98</f>
        <v>0</v>
      </c>
      <c r="K98" s="93"/>
      <c r="L98" s="7"/>
      <c r="M98" s="77"/>
      <c r="N98" s="6"/>
      <c r="O98" s="6"/>
      <c r="P98" s="7"/>
      <c r="Y98" s="13" t="s">
        <v>153</v>
      </c>
    </row>
    <row r="99" ht="12.0" customHeight="1">
      <c r="B99" s="78"/>
      <c r="C99" s="79"/>
      <c r="D99" s="80"/>
      <c r="E99" s="65"/>
      <c r="F99" s="65"/>
      <c r="G99" s="65"/>
      <c r="H99" s="81"/>
      <c r="I99" s="79"/>
      <c r="J99" s="65"/>
      <c r="K99" s="46"/>
      <c r="L99" s="63"/>
      <c r="M99" s="46"/>
      <c r="N99" s="15"/>
      <c r="O99" s="15"/>
      <c r="P99" s="63"/>
      <c r="Y99" s="13" t="s">
        <v>154</v>
      </c>
    </row>
    <row r="100" ht="12.0" customHeight="1">
      <c r="A100" s="68">
        <v>14.0</v>
      </c>
      <c r="B100" s="96"/>
      <c r="C100" s="97"/>
      <c r="D100" s="90" t="s">
        <v>74</v>
      </c>
      <c r="E100" s="72"/>
      <c r="F100" s="72"/>
      <c r="G100" s="72"/>
      <c r="H100" s="73"/>
      <c r="I100" s="91"/>
      <c r="J100" s="92">
        <f>I100*B100</f>
        <v>0</v>
      </c>
      <c r="K100" s="93"/>
      <c r="L100" s="7"/>
      <c r="M100" s="77"/>
      <c r="N100" s="6"/>
      <c r="O100" s="6"/>
      <c r="P100" s="7"/>
      <c r="Y100" s="13" t="s">
        <v>155</v>
      </c>
    </row>
    <row r="101" ht="12.0" customHeight="1">
      <c r="B101" s="78"/>
      <c r="C101" s="79"/>
      <c r="D101" s="80"/>
      <c r="E101" s="65"/>
      <c r="F101" s="65"/>
      <c r="G101" s="65"/>
      <c r="H101" s="81"/>
      <c r="I101" s="79"/>
      <c r="J101" s="65"/>
      <c r="K101" s="46"/>
      <c r="L101" s="63"/>
      <c r="M101" s="46"/>
      <c r="N101" s="15"/>
      <c r="O101" s="15"/>
      <c r="P101" s="63"/>
      <c r="Y101" s="13" t="s">
        <v>156</v>
      </c>
    </row>
    <row r="102" ht="12.0" customHeight="1">
      <c r="A102" s="68">
        <v>15.0</v>
      </c>
      <c r="B102" s="96"/>
      <c r="C102" s="97"/>
      <c r="D102" s="90" t="s">
        <v>74</v>
      </c>
      <c r="E102" s="72"/>
      <c r="F102" s="72"/>
      <c r="G102" s="72"/>
      <c r="H102" s="73"/>
      <c r="I102" s="91"/>
      <c r="J102" s="92">
        <f>I102*B102</f>
        <v>0</v>
      </c>
      <c r="K102" s="93"/>
      <c r="L102" s="7"/>
      <c r="M102" s="77"/>
      <c r="N102" s="6"/>
      <c r="O102" s="6"/>
      <c r="P102" s="7"/>
      <c r="Y102" s="13" t="s">
        <v>157</v>
      </c>
    </row>
    <row r="103" ht="12.0" customHeight="1">
      <c r="B103" s="78"/>
      <c r="C103" s="79"/>
      <c r="D103" s="80"/>
      <c r="E103" s="65"/>
      <c r="F103" s="65"/>
      <c r="G103" s="65"/>
      <c r="H103" s="81"/>
      <c r="I103" s="79"/>
      <c r="J103" s="65"/>
      <c r="K103" s="46"/>
      <c r="L103" s="63"/>
      <c r="M103" s="46"/>
      <c r="N103" s="15"/>
      <c r="O103" s="15"/>
      <c r="P103" s="63"/>
      <c r="Y103" s="13" t="s">
        <v>158</v>
      </c>
    </row>
    <row r="104" ht="12.0" customHeight="1">
      <c r="A104" s="68">
        <v>11.0</v>
      </c>
      <c r="B104" s="96"/>
      <c r="C104" s="97"/>
      <c r="D104" s="90" t="s">
        <v>74</v>
      </c>
      <c r="E104" s="72"/>
      <c r="F104" s="72"/>
      <c r="G104" s="72"/>
      <c r="H104" s="73"/>
      <c r="I104" s="91"/>
      <c r="J104" s="92">
        <f>I104*B104</f>
        <v>0</v>
      </c>
      <c r="K104" s="93"/>
      <c r="L104" s="7"/>
      <c r="M104" s="77"/>
      <c r="N104" s="6"/>
      <c r="O104" s="6"/>
      <c r="P104" s="7"/>
      <c r="Y104" s="13" t="s">
        <v>159</v>
      </c>
    </row>
    <row r="105" ht="12.0" customHeight="1">
      <c r="B105" s="78"/>
      <c r="C105" s="79"/>
      <c r="D105" s="80"/>
      <c r="E105" s="65"/>
      <c r="F105" s="65"/>
      <c r="G105" s="65"/>
      <c r="H105" s="81"/>
      <c r="I105" s="79"/>
      <c r="J105" s="65"/>
      <c r="K105" s="46"/>
      <c r="L105" s="63"/>
      <c r="M105" s="46"/>
      <c r="N105" s="15"/>
      <c r="O105" s="15"/>
      <c r="P105" s="63"/>
      <c r="Y105" s="13" t="s">
        <v>160</v>
      </c>
    </row>
    <row r="106" ht="12.0" customHeight="1">
      <c r="A106" s="68">
        <v>12.0</v>
      </c>
      <c r="B106" s="96"/>
      <c r="C106" s="97"/>
      <c r="D106" s="90" t="s">
        <v>74</v>
      </c>
      <c r="E106" s="72"/>
      <c r="F106" s="72"/>
      <c r="G106" s="72"/>
      <c r="H106" s="73"/>
      <c r="I106" s="91"/>
      <c r="J106" s="92">
        <f>I106*B106</f>
        <v>0</v>
      </c>
      <c r="K106" s="93"/>
      <c r="L106" s="7"/>
      <c r="M106" s="77"/>
      <c r="N106" s="6"/>
      <c r="O106" s="6"/>
      <c r="P106" s="7"/>
      <c r="Y106" s="13" t="s">
        <v>161</v>
      </c>
    </row>
    <row r="107" ht="12.0" customHeight="1">
      <c r="B107" s="78"/>
      <c r="C107" s="79"/>
      <c r="D107" s="80"/>
      <c r="E107" s="65"/>
      <c r="F107" s="65"/>
      <c r="G107" s="65"/>
      <c r="H107" s="81"/>
      <c r="I107" s="79"/>
      <c r="J107" s="65"/>
      <c r="K107" s="46"/>
      <c r="L107" s="63"/>
      <c r="M107" s="46"/>
      <c r="N107" s="15"/>
      <c r="O107" s="15"/>
      <c r="P107" s="63"/>
      <c r="Y107" s="13" t="s">
        <v>162</v>
      </c>
    </row>
    <row r="108" ht="12.0" customHeight="1">
      <c r="A108" s="68">
        <v>13.0</v>
      </c>
      <c r="B108" s="96"/>
      <c r="C108" s="97"/>
      <c r="D108" s="90" t="s">
        <v>74</v>
      </c>
      <c r="E108" s="72"/>
      <c r="F108" s="72"/>
      <c r="G108" s="72"/>
      <c r="H108" s="73"/>
      <c r="I108" s="91"/>
      <c r="J108" s="92">
        <f>I108*B108</f>
        <v>0</v>
      </c>
      <c r="K108" s="93"/>
      <c r="L108" s="7"/>
      <c r="M108" s="77"/>
      <c r="N108" s="6"/>
      <c r="O108" s="6"/>
      <c r="P108" s="7"/>
      <c r="Y108" s="13" t="s">
        <v>163</v>
      </c>
    </row>
    <row r="109" ht="12.0" customHeight="1">
      <c r="B109" s="78"/>
      <c r="C109" s="79"/>
      <c r="D109" s="80"/>
      <c r="E109" s="65"/>
      <c r="F109" s="65"/>
      <c r="G109" s="65"/>
      <c r="H109" s="81"/>
      <c r="I109" s="79"/>
      <c r="J109" s="65"/>
      <c r="K109" s="46"/>
      <c r="L109" s="63"/>
      <c r="M109" s="46"/>
      <c r="N109" s="15"/>
      <c r="O109" s="15"/>
      <c r="P109" s="63"/>
      <c r="Y109" s="13" t="s">
        <v>164</v>
      </c>
    </row>
    <row r="110" ht="12.0" customHeight="1">
      <c r="A110" s="68">
        <v>14.0</v>
      </c>
      <c r="B110" s="96"/>
      <c r="C110" s="97"/>
      <c r="D110" s="90" t="s">
        <v>74</v>
      </c>
      <c r="E110" s="72"/>
      <c r="F110" s="72"/>
      <c r="G110" s="72"/>
      <c r="H110" s="73"/>
      <c r="I110" s="91"/>
      <c r="J110" s="92">
        <f>I110*B110</f>
        <v>0</v>
      </c>
      <c r="K110" s="93"/>
      <c r="L110" s="7"/>
      <c r="M110" s="77"/>
      <c r="N110" s="6"/>
      <c r="O110" s="6"/>
      <c r="P110" s="7"/>
      <c r="Y110" s="13" t="s">
        <v>165</v>
      </c>
    </row>
    <row r="111" ht="12.0" customHeight="1">
      <c r="B111" s="78"/>
      <c r="C111" s="79"/>
      <c r="D111" s="80"/>
      <c r="E111" s="65"/>
      <c r="F111" s="65"/>
      <c r="G111" s="65"/>
      <c r="H111" s="81"/>
      <c r="I111" s="79"/>
      <c r="J111" s="65"/>
      <c r="K111" s="46"/>
      <c r="L111" s="63"/>
      <c r="M111" s="46"/>
      <c r="N111" s="15"/>
      <c r="O111" s="15"/>
      <c r="P111" s="63"/>
      <c r="Y111" s="13" t="s">
        <v>166</v>
      </c>
    </row>
    <row r="112" ht="12.0" customHeight="1">
      <c r="A112" s="68">
        <v>15.0</v>
      </c>
      <c r="B112" s="96"/>
      <c r="C112" s="97"/>
      <c r="D112" s="90" t="s">
        <v>74</v>
      </c>
      <c r="E112" s="72"/>
      <c r="F112" s="72"/>
      <c r="G112" s="72"/>
      <c r="H112" s="73"/>
      <c r="I112" s="91"/>
      <c r="J112" s="92">
        <f>I112*B112</f>
        <v>0</v>
      </c>
      <c r="K112" s="93"/>
      <c r="L112" s="7"/>
      <c r="M112" s="77"/>
      <c r="N112" s="6"/>
      <c r="O112" s="6"/>
      <c r="P112" s="7"/>
      <c r="Y112" s="13" t="s">
        <v>167</v>
      </c>
    </row>
    <row r="113" ht="12.0" customHeight="1">
      <c r="B113" s="78"/>
      <c r="C113" s="79"/>
      <c r="D113" s="80"/>
      <c r="E113" s="65"/>
      <c r="F113" s="65"/>
      <c r="G113" s="65"/>
      <c r="H113" s="81"/>
      <c r="I113" s="79"/>
      <c r="J113" s="65"/>
      <c r="K113" s="46"/>
      <c r="L113" s="63"/>
      <c r="M113" s="46"/>
      <c r="N113" s="15"/>
      <c r="O113" s="15"/>
      <c r="P113" s="63"/>
      <c r="Y113" s="13" t="s">
        <v>168</v>
      </c>
    </row>
    <row r="114" ht="12.0" customHeight="1">
      <c r="A114" s="68">
        <v>16.0</v>
      </c>
      <c r="B114" s="96"/>
      <c r="C114" s="97"/>
      <c r="D114" s="90" t="s">
        <v>74</v>
      </c>
      <c r="E114" s="72"/>
      <c r="F114" s="72"/>
      <c r="G114" s="72"/>
      <c r="H114" s="73"/>
      <c r="I114" s="91"/>
      <c r="J114" s="92">
        <f>I114*B114</f>
        <v>0</v>
      </c>
      <c r="K114" s="93"/>
      <c r="L114" s="7"/>
      <c r="M114" s="77"/>
      <c r="N114" s="6"/>
      <c r="O114" s="6"/>
      <c r="P114" s="7"/>
      <c r="Y114" s="13" t="s">
        <v>169</v>
      </c>
    </row>
    <row r="115" ht="12.0" customHeight="1">
      <c r="B115" s="78"/>
      <c r="C115" s="79"/>
      <c r="D115" s="80"/>
      <c r="E115" s="65"/>
      <c r="F115" s="65"/>
      <c r="G115" s="65"/>
      <c r="H115" s="81"/>
      <c r="I115" s="79"/>
      <c r="J115" s="65"/>
      <c r="K115" s="46"/>
      <c r="L115" s="63"/>
      <c r="M115" s="46"/>
      <c r="N115" s="15"/>
      <c r="O115" s="15"/>
      <c r="P115" s="63"/>
      <c r="Y115" s="13" t="s">
        <v>170</v>
      </c>
    </row>
    <row r="116" ht="12.0" customHeight="1">
      <c r="A116" s="68">
        <v>17.0</v>
      </c>
      <c r="B116" s="96"/>
      <c r="C116" s="97"/>
      <c r="D116" s="90" t="s">
        <v>74</v>
      </c>
      <c r="E116" s="72"/>
      <c r="F116" s="72"/>
      <c r="G116" s="72"/>
      <c r="H116" s="73"/>
      <c r="I116" s="91"/>
      <c r="J116" s="92">
        <f>I116*B116</f>
        <v>0</v>
      </c>
      <c r="K116" s="93"/>
      <c r="L116" s="7"/>
      <c r="M116" s="77"/>
      <c r="N116" s="6"/>
      <c r="O116" s="6"/>
      <c r="P116" s="7"/>
      <c r="Y116" s="13" t="s">
        <v>171</v>
      </c>
    </row>
    <row r="117" ht="12.0" customHeight="1">
      <c r="B117" s="78"/>
      <c r="C117" s="79"/>
      <c r="D117" s="80"/>
      <c r="E117" s="65"/>
      <c r="F117" s="65"/>
      <c r="G117" s="65"/>
      <c r="H117" s="81"/>
      <c r="I117" s="79"/>
      <c r="J117" s="65"/>
      <c r="K117" s="46"/>
      <c r="L117" s="63"/>
      <c r="M117" s="46"/>
      <c r="N117" s="15"/>
      <c r="O117" s="15"/>
      <c r="P117" s="63"/>
      <c r="Y117" s="13" t="s">
        <v>172</v>
      </c>
    </row>
    <row r="118" ht="12.0" customHeight="1">
      <c r="A118" s="68">
        <v>18.0</v>
      </c>
      <c r="B118" s="96"/>
      <c r="C118" s="97"/>
      <c r="D118" s="90" t="s">
        <v>74</v>
      </c>
      <c r="E118" s="72"/>
      <c r="F118" s="72"/>
      <c r="G118" s="72"/>
      <c r="H118" s="73"/>
      <c r="I118" s="91"/>
      <c r="J118" s="92">
        <f>I118*B118</f>
        <v>0</v>
      </c>
      <c r="K118" s="93"/>
      <c r="L118" s="7"/>
      <c r="M118" s="77"/>
      <c r="N118" s="6"/>
      <c r="O118" s="6"/>
      <c r="P118" s="7"/>
      <c r="Y118" s="13" t="s">
        <v>173</v>
      </c>
    </row>
    <row r="119" ht="12.0" customHeight="1">
      <c r="B119" s="78"/>
      <c r="C119" s="79"/>
      <c r="D119" s="80"/>
      <c r="E119" s="65"/>
      <c r="F119" s="65"/>
      <c r="G119" s="65"/>
      <c r="H119" s="81"/>
      <c r="I119" s="79"/>
      <c r="J119" s="65"/>
      <c r="K119" s="46"/>
      <c r="L119" s="63"/>
      <c r="M119" s="46"/>
      <c r="N119" s="15"/>
      <c r="O119" s="15"/>
      <c r="P119" s="63"/>
      <c r="Y119" s="13" t="s">
        <v>174</v>
      </c>
    </row>
    <row r="120" ht="12.0" customHeight="1">
      <c r="A120" s="68">
        <v>19.0</v>
      </c>
      <c r="B120" s="96"/>
      <c r="C120" s="97"/>
      <c r="D120" s="90" t="s">
        <v>74</v>
      </c>
      <c r="E120" s="72"/>
      <c r="F120" s="72"/>
      <c r="G120" s="72"/>
      <c r="H120" s="73"/>
      <c r="I120" s="91"/>
      <c r="J120" s="92">
        <f>I120*B120</f>
        <v>0</v>
      </c>
      <c r="K120" s="93"/>
      <c r="L120" s="7"/>
      <c r="M120" s="77"/>
      <c r="N120" s="6"/>
      <c r="O120" s="6"/>
      <c r="P120" s="7"/>
      <c r="Y120" s="13" t="s">
        <v>175</v>
      </c>
    </row>
    <row r="121" ht="12.0" customHeight="1">
      <c r="B121" s="78"/>
      <c r="C121" s="79"/>
      <c r="D121" s="80"/>
      <c r="E121" s="65"/>
      <c r="F121" s="65"/>
      <c r="G121" s="65"/>
      <c r="H121" s="81"/>
      <c r="I121" s="79"/>
      <c r="J121" s="65"/>
      <c r="K121" s="46"/>
      <c r="L121" s="63"/>
      <c r="M121" s="46"/>
      <c r="N121" s="15"/>
      <c r="O121" s="15"/>
      <c r="P121" s="63"/>
      <c r="Y121" s="13" t="s">
        <v>176</v>
      </c>
    </row>
    <row r="122" ht="12.0" customHeight="1">
      <c r="A122" s="68">
        <v>20.0</v>
      </c>
      <c r="B122" s="96"/>
      <c r="C122" s="97"/>
      <c r="D122" s="90" t="s">
        <v>74</v>
      </c>
      <c r="E122" s="72"/>
      <c r="F122" s="72"/>
      <c r="G122" s="72"/>
      <c r="H122" s="73"/>
      <c r="I122" s="91"/>
      <c r="J122" s="92">
        <f>I122*B122</f>
        <v>0</v>
      </c>
      <c r="K122" s="93"/>
      <c r="L122" s="7"/>
      <c r="M122" s="77"/>
      <c r="N122" s="6"/>
      <c r="O122" s="6"/>
      <c r="P122" s="7"/>
      <c r="Y122" s="13" t="s">
        <v>177</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6"/>
      <c r="C124" s="97"/>
      <c r="D124" s="90" t="s">
        <v>74</v>
      </c>
      <c r="E124" s="72"/>
      <c r="F124" s="72"/>
      <c r="G124" s="72"/>
      <c r="H124" s="73"/>
      <c r="I124" s="91"/>
      <c r="J124" s="92">
        <f>I124*B124</f>
        <v>0</v>
      </c>
      <c r="K124" s="93"/>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6"/>
      <c r="C126" s="97"/>
      <c r="D126" s="90" t="s">
        <v>74</v>
      </c>
      <c r="E126" s="72"/>
      <c r="F126" s="72"/>
      <c r="G126" s="72"/>
      <c r="H126" s="73"/>
      <c r="I126" s="91"/>
      <c r="J126" s="92">
        <f>I126*B126</f>
        <v>0</v>
      </c>
      <c r="K126" s="93"/>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6"/>
      <c r="C128" s="97"/>
      <c r="D128" s="90" t="s">
        <v>74</v>
      </c>
      <c r="E128" s="72"/>
      <c r="F128" s="72"/>
      <c r="G128" s="72"/>
      <c r="H128" s="73"/>
      <c r="I128" s="91"/>
      <c r="J128" s="92">
        <f>I128*B128</f>
        <v>0</v>
      </c>
      <c r="K128" s="93"/>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6"/>
      <c r="C130" s="97"/>
      <c r="D130" s="90" t="s">
        <v>74</v>
      </c>
      <c r="E130" s="72"/>
      <c r="F130" s="72"/>
      <c r="G130" s="72"/>
      <c r="H130" s="73"/>
      <c r="I130" s="91"/>
      <c r="J130" s="92">
        <f>I130*B130</f>
        <v>0</v>
      </c>
      <c r="K130" s="93"/>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6"/>
      <c r="C132" s="97"/>
      <c r="D132" s="90" t="s">
        <v>74</v>
      </c>
      <c r="E132" s="72"/>
      <c r="F132" s="72"/>
      <c r="G132" s="72"/>
      <c r="H132" s="73"/>
      <c r="I132" s="91"/>
      <c r="J132" s="92">
        <f>I132*B132</f>
        <v>0</v>
      </c>
      <c r="K132" s="93"/>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6"/>
      <c r="C134" s="97"/>
      <c r="D134" s="90" t="s">
        <v>74</v>
      </c>
      <c r="E134" s="72"/>
      <c r="F134" s="72"/>
      <c r="G134" s="72"/>
      <c r="H134" s="73"/>
      <c r="I134" s="91"/>
      <c r="J134" s="92">
        <f>I134*B134</f>
        <v>0</v>
      </c>
      <c r="K134" s="93"/>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6"/>
      <c r="C136" s="97"/>
      <c r="D136" s="90" t="s">
        <v>74</v>
      </c>
      <c r="E136" s="72"/>
      <c r="F136" s="72"/>
      <c r="G136" s="72"/>
      <c r="H136" s="73"/>
      <c r="I136" s="91"/>
      <c r="J136" s="92">
        <f>I136*B136</f>
        <v>0</v>
      </c>
      <c r="K136" s="93"/>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6"/>
      <c r="C138" s="97"/>
      <c r="D138" s="90" t="s">
        <v>74</v>
      </c>
      <c r="E138" s="72"/>
      <c r="F138" s="72"/>
      <c r="G138" s="72"/>
      <c r="H138" s="73"/>
      <c r="I138" s="91"/>
      <c r="J138" s="92">
        <f>I138*B138</f>
        <v>0</v>
      </c>
      <c r="K138" s="93"/>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6"/>
      <c r="C140" s="97"/>
      <c r="D140" s="90" t="s">
        <v>74</v>
      </c>
      <c r="E140" s="72"/>
      <c r="F140" s="72"/>
      <c r="G140" s="72"/>
      <c r="H140" s="73"/>
      <c r="I140" s="91"/>
      <c r="J140" s="92">
        <f>I140*B140</f>
        <v>0</v>
      </c>
      <c r="K140" s="93"/>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6"/>
      <c r="C142" s="97"/>
      <c r="D142" s="90" t="s">
        <v>74</v>
      </c>
      <c r="E142" s="72"/>
      <c r="F142" s="72"/>
      <c r="G142" s="72"/>
      <c r="H142" s="73"/>
      <c r="I142" s="91"/>
      <c r="J142" s="92">
        <f>I142*B142</f>
        <v>0</v>
      </c>
      <c r="K142" s="93"/>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6"/>
      <c r="C144" s="97"/>
      <c r="D144" s="90" t="s">
        <v>74</v>
      </c>
      <c r="E144" s="72"/>
      <c r="F144" s="72"/>
      <c r="G144" s="72"/>
      <c r="H144" s="73"/>
      <c r="I144" s="91"/>
      <c r="J144" s="92">
        <f>I144*B144</f>
        <v>0</v>
      </c>
      <c r="K144" s="93"/>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6"/>
      <c r="C146" s="97"/>
      <c r="D146" s="90" t="s">
        <v>74</v>
      </c>
      <c r="E146" s="72"/>
      <c r="F146" s="72"/>
      <c r="G146" s="72"/>
      <c r="H146" s="73"/>
      <c r="I146" s="91"/>
      <c r="J146" s="92">
        <f>I146*B146</f>
        <v>0</v>
      </c>
      <c r="K146" s="93"/>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6"/>
      <c r="C148" s="97"/>
      <c r="D148" s="90" t="s">
        <v>74</v>
      </c>
      <c r="E148" s="72"/>
      <c r="F148" s="72"/>
      <c r="G148" s="72"/>
      <c r="H148" s="73"/>
      <c r="I148" s="91"/>
      <c r="J148" s="92">
        <f>I148*B148</f>
        <v>0</v>
      </c>
      <c r="K148" s="93"/>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6"/>
      <c r="C150" s="97"/>
      <c r="D150" s="90" t="s">
        <v>74</v>
      </c>
      <c r="E150" s="72"/>
      <c r="F150" s="72"/>
      <c r="G150" s="72"/>
      <c r="H150" s="73"/>
      <c r="I150" s="91"/>
      <c r="J150" s="92">
        <f>I150*B150</f>
        <v>0</v>
      </c>
      <c r="K150" s="93"/>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6"/>
      <c r="C152" s="97"/>
      <c r="D152" s="90" t="s">
        <v>74</v>
      </c>
      <c r="E152" s="72"/>
      <c r="F152" s="72"/>
      <c r="G152" s="72"/>
      <c r="H152" s="73"/>
      <c r="I152" s="91"/>
      <c r="J152" s="92">
        <f>I152*B152</f>
        <v>0</v>
      </c>
      <c r="K152" s="93"/>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6"/>
      <c r="C154" s="97"/>
      <c r="D154" s="90" t="s">
        <v>74</v>
      </c>
      <c r="E154" s="72"/>
      <c r="F154" s="72"/>
      <c r="G154" s="72"/>
      <c r="H154" s="73"/>
      <c r="I154" s="91"/>
      <c r="J154" s="92">
        <f>I154*B154</f>
        <v>0</v>
      </c>
      <c r="K154" s="93"/>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6"/>
      <c r="C156" s="97"/>
      <c r="D156" s="90" t="s">
        <v>74</v>
      </c>
      <c r="E156" s="72"/>
      <c r="F156" s="72"/>
      <c r="G156" s="72"/>
      <c r="H156" s="73"/>
      <c r="I156" s="91"/>
      <c r="J156" s="92">
        <f>I156*B156</f>
        <v>0</v>
      </c>
      <c r="K156" s="93"/>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6"/>
      <c r="C158" s="97"/>
      <c r="D158" s="90" t="s">
        <v>74</v>
      </c>
      <c r="E158" s="72"/>
      <c r="F158" s="72"/>
      <c r="G158" s="72"/>
      <c r="H158" s="73"/>
      <c r="I158" s="91"/>
      <c r="J158" s="92">
        <f>I158*B158</f>
        <v>0</v>
      </c>
      <c r="K158" s="93"/>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6"/>
      <c r="C160" s="97"/>
      <c r="D160" s="90" t="s">
        <v>74</v>
      </c>
      <c r="E160" s="72"/>
      <c r="F160" s="72"/>
      <c r="G160" s="72"/>
      <c r="H160" s="73"/>
      <c r="I160" s="91"/>
      <c r="J160" s="92">
        <f>I160*B160</f>
        <v>0</v>
      </c>
      <c r="K160" s="93"/>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6"/>
      <c r="C162" s="97"/>
      <c r="D162" s="90" t="s">
        <v>74</v>
      </c>
      <c r="E162" s="72"/>
      <c r="F162" s="72"/>
      <c r="G162" s="72"/>
      <c r="H162" s="73"/>
      <c r="I162" s="91"/>
      <c r="J162" s="92">
        <f>I162*B162</f>
        <v>0</v>
      </c>
      <c r="K162" s="93"/>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6"/>
      <c r="C164" s="97"/>
      <c r="D164" s="90" t="s">
        <v>74</v>
      </c>
      <c r="E164" s="72"/>
      <c r="F164" s="72"/>
      <c r="G164" s="72"/>
      <c r="H164" s="73"/>
      <c r="I164" s="91"/>
      <c r="J164" s="92">
        <f>I164*B164</f>
        <v>0</v>
      </c>
      <c r="K164" s="93"/>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6"/>
      <c r="C166" s="97"/>
      <c r="D166" s="90" t="s">
        <v>74</v>
      </c>
      <c r="E166" s="72"/>
      <c r="F166" s="72"/>
      <c r="G166" s="72"/>
      <c r="H166" s="73"/>
      <c r="I166" s="91"/>
      <c r="J166" s="92">
        <f>I166*B166</f>
        <v>0</v>
      </c>
      <c r="K166" s="93"/>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6"/>
      <c r="C168" s="97"/>
      <c r="D168" s="90" t="s">
        <v>74</v>
      </c>
      <c r="E168" s="72"/>
      <c r="F168" s="72"/>
      <c r="G168" s="72"/>
      <c r="H168" s="73"/>
      <c r="I168" s="91"/>
      <c r="J168" s="92">
        <f>I168*B168</f>
        <v>0</v>
      </c>
      <c r="K168" s="93"/>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6"/>
      <c r="C170" s="97"/>
      <c r="D170" s="90" t="s">
        <v>74</v>
      </c>
      <c r="E170" s="72"/>
      <c r="F170" s="72"/>
      <c r="G170" s="72"/>
      <c r="H170" s="73"/>
      <c r="I170" s="91"/>
      <c r="J170" s="92">
        <f>I170*B170</f>
        <v>0</v>
      </c>
      <c r="K170" s="93"/>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6"/>
      <c r="C172" s="97"/>
      <c r="D172" s="90" t="s">
        <v>74</v>
      </c>
      <c r="E172" s="72"/>
      <c r="F172" s="72"/>
      <c r="G172" s="72"/>
      <c r="H172" s="73"/>
      <c r="I172" s="91"/>
      <c r="J172" s="92">
        <f>I172*B172</f>
        <v>0</v>
      </c>
      <c r="K172" s="93"/>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6"/>
      <c r="C174" s="97"/>
      <c r="D174" s="90" t="s">
        <v>74</v>
      </c>
      <c r="E174" s="72"/>
      <c r="F174" s="72"/>
      <c r="G174" s="72"/>
      <c r="H174" s="73"/>
      <c r="I174" s="91"/>
      <c r="J174" s="92">
        <f>I174*B174</f>
        <v>0</v>
      </c>
      <c r="K174" s="93"/>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6"/>
      <c r="C176" s="97"/>
      <c r="D176" s="90" t="s">
        <v>74</v>
      </c>
      <c r="E176" s="72"/>
      <c r="F176" s="72"/>
      <c r="G176" s="72"/>
      <c r="H176" s="73"/>
      <c r="I176" s="91"/>
      <c r="J176" s="92">
        <f>I176*B176</f>
        <v>0</v>
      </c>
      <c r="K176" s="93"/>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6"/>
      <c r="C178" s="97"/>
      <c r="D178" s="90" t="s">
        <v>74</v>
      </c>
      <c r="E178" s="72"/>
      <c r="F178" s="72"/>
      <c r="G178" s="72"/>
      <c r="H178" s="73"/>
      <c r="I178" s="91"/>
      <c r="J178" s="92">
        <f>I178*B178</f>
        <v>0</v>
      </c>
      <c r="K178" s="93"/>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6"/>
      <c r="C180" s="97"/>
      <c r="D180" s="90" t="s">
        <v>74</v>
      </c>
      <c r="E180" s="72"/>
      <c r="F180" s="72"/>
      <c r="G180" s="72"/>
      <c r="H180" s="73"/>
      <c r="I180" s="91"/>
      <c r="J180" s="92">
        <f>I180*B180</f>
        <v>0</v>
      </c>
      <c r="K180" s="93"/>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6"/>
      <c r="C182" s="97"/>
      <c r="D182" s="90" t="s">
        <v>74</v>
      </c>
      <c r="E182" s="72"/>
      <c r="F182" s="72"/>
      <c r="G182" s="72"/>
      <c r="H182" s="73"/>
      <c r="I182" s="91"/>
      <c r="J182" s="92">
        <f>I182*B182</f>
        <v>0</v>
      </c>
      <c r="K182" s="93"/>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6"/>
      <c r="C184" s="97"/>
      <c r="D184" s="90" t="s">
        <v>74</v>
      </c>
      <c r="E184" s="72"/>
      <c r="F184" s="72"/>
      <c r="G184" s="72"/>
      <c r="H184" s="73"/>
      <c r="I184" s="91"/>
      <c r="J184" s="92">
        <f>I184*B184</f>
        <v>0</v>
      </c>
      <c r="K184" s="93"/>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6"/>
      <c r="C186" s="97"/>
      <c r="D186" s="90" t="s">
        <v>74</v>
      </c>
      <c r="E186" s="72"/>
      <c r="F186" s="72"/>
      <c r="G186" s="72"/>
      <c r="H186" s="73"/>
      <c r="I186" s="91"/>
      <c r="J186" s="92">
        <f>I186*B186</f>
        <v>0</v>
      </c>
      <c r="K186" s="93"/>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6"/>
      <c r="C188" s="97"/>
      <c r="D188" s="90" t="s">
        <v>74</v>
      </c>
      <c r="E188" s="72"/>
      <c r="F188" s="72"/>
      <c r="G188" s="72"/>
      <c r="H188" s="73"/>
      <c r="I188" s="91"/>
      <c r="J188" s="92">
        <f>I188*B188</f>
        <v>0</v>
      </c>
      <c r="K188" s="93"/>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6"/>
      <c r="C190" s="97"/>
      <c r="D190" s="90" t="s">
        <v>74</v>
      </c>
      <c r="E190" s="72"/>
      <c r="F190" s="72"/>
      <c r="G190" s="72"/>
      <c r="H190" s="73"/>
      <c r="I190" s="91"/>
      <c r="J190" s="92">
        <f>I190*B190</f>
        <v>0</v>
      </c>
      <c r="K190" s="93"/>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6"/>
      <c r="C192" s="97"/>
      <c r="D192" s="90" t="s">
        <v>74</v>
      </c>
      <c r="E192" s="72"/>
      <c r="F192" s="72"/>
      <c r="G192" s="72"/>
      <c r="H192" s="73"/>
      <c r="I192" s="91"/>
      <c r="J192" s="92">
        <f>I192*B192</f>
        <v>0</v>
      </c>
      <c r="K192" s="93"/>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6"/>
      <c r="C194" s="97"/>
      <c r="D194" s="90" t="s">
        <v>74</v>
      </c>
      <c r="E194" s="72"/>
      <c r="F194" s="72"/>
      <c r="G194" s="72"/>
      <c r="H194" s="73"/>
      <c r="I194" s="91"/>
      <c r="J194" s="92">
        <f>I194*B194</f>
        <v>0</v>
      </c>
      <c r="K194" s="93"/>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6"/>
      <c r="C196" s="97"/>
      <c r="D196" s="90" t="s">
        <v>74</v>
      </c>
      <c r="E196" s="72"/>
      <c r="F196" s="72"/>
      <c r="G196" s="72"/>
      <c r="H196" s="73"/>
      <c r="I196" s="91"/>
      <c r="J196" s="92">
        <f>I196*B196</f>
        <v>0</v>
      </c>
      <c r="K196" s="93"/>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6"/>
      <c r="C198" s="97"/>
      <c r="D198" s="90" t="s">
        <v>74</v>
      </c>
      <c r="E198" s="72"/>
      <c r="F198" s="72"/>
      <c r="G198" s="72"/>
      <c r="H198" s="73"/>
      <c r="I198" s="91"/>
      <c r="J198" s="92">
        <f>I198*B198</f>
        <v>0</v>
      </c>
      <c r="K198" s="93"/>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6"/>
      <c r="C200" s="97"/>
      <c r="D200" s="90" t="s">
        <v>74</v>
      </c>
      <c r="E200" s="72"/>
      <c r="F200" s="72"/>
      <c r="G200" s="72"/>
      <c r="H200" s="73"/>
      <c r="I200" s="91"/>
      <c r="J200" s="92">
        <f>I200*B200</f>
        <v>0</v>
      </c>
      <c r="K200" s="93"/>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6"/>
      <c r="C202" s="97"/>
      <c r="D202" s="90" t="s">
        <v>74</v>
      </c>
      <c r="E202" s="72"/>
      <c r="F202" s="72"/>
      <c r="G202" s="72"/>
      <c r="H202" s="73"/>
      <c r="I202" s="91"/>
      <c r="J202" s="92">
        <f>I202*B202</f>
        <v>0</v>
      </c>
      <c r="K202" s="93"/>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6"/>
      <c r="C204" s="97"/>
      <c r="D204" s="90" t="s">
        <v>74</v>
      </c>
      <c r="E204" s="72"/>
      <c r="F204" s="72"/>
      <c r="G204" s="72"/>
      <c r="H204" s="73"/>
      <c r="I204" s="91"/>
      <c r="J204" s="92">
        <f>I204*B204</f>
        <v>0</v>
      </c>
      <c r="K204" s="93"/>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6"/>
      <c r="C206" s="97"/>
      <c r="D206" s="90" t="s">
        <v>74</v>
      </c>
      <c r="E206" s="72"/>
      <c r="F206" s="72"/>
      <c r="G206" s="72"/>
      <c r="H206" s="73"/>
      <c r="I206" s="91"/>
      <c r="J206" s="92">
        <f>I206*B206</f>
        <v>0</v>
      </c>
      <c r="K206" s="93"/>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6"/>
      <c r="C208" s="97"/>
      <c r="D208" s="90" t="s">
        <v>74</v>
      </c>
      <c r="E208" s="72"/>
      <c r="F208" s="72"/>
      <c r="G208" s="72"/>
      <c r="H208" s="73"/>
      <c r="I208" s="91"/>
      <c r="J208" s="92">
        <f>I208*B208</f>
        <v>0</v>
      </c>
      <c r="K208" s="93"/>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6"/>
      <c r="C210" s="97"/>
      <c r="D210" s="90" t="s">
        <v>74</v>
      </c>
      <c r="E210" s="72"/>
      <c r="F210" s="72"/>
      <c r="G210" s="72"/>
      <c r="H210" s="73"/>
      <c r="I210" s="91"/>
      <c r="J210" s="92">
        <f>I210*B210</f>
        <v>0</v>
      </c>
      <c r="K210" s="93"/>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6"/>
      <c r="C212" s="97"/>
      <c r="D212" s="90" t="s">
        <v>74</v>
      </c>
      <c r="E212" s="72"/>
      <c r="F212" s="72"/>
      <c r="G212" s="72"/>
      <c r="H212" s="73"/>
      <c r="I212" s="91"/>
      <c r="J212" s="92">
        <f>I212*B212</f>
        <v>0</v>
      </c>
      <c r="K212" s="93"/>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6"/>
      <c r="C214" s="97"/>
      <c r="D214" s="90" t="s">
        <v>74</v>
      </c>
      <c r="E214" s="72"/>
      <c r="F214" s="72"/>
      <c r="G214" s="72"/>
      <c r="H214" s="73"/>
      <c r="I214" s="91"/>
      <c r="J214" s="92">
        <f>I214*B214</f>
        <v>0</v>
      </c>
      <c r="K214" s="93"/>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6"/>
      <c r="C216" s="97"/>
      <c r="D216" s="90" t="s">
        <v>74</v>
      </c>
      <c r="E216" s="72"/>
      <c r="F216" s="72"/>
      <c r="G216" s="72"/>
      <c r="H216" s="73"/>
      <c r="I216" s="91"/>
      <c r="J216" s="92">
        <f>I216*B216</f>
        <v>0</v>
      </c>
      <c r="K216" s="93"/>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6"/>
      <c r="C218" s="97"/>
      <c r="D218" s="90" t="s">
        <v>74</v>
      </c>
      <c r="E218" s="72"/>
      <c r="F218" s="72"/>
      <c r="G218" s="72"/>
      <c r="H218" s="73"/>
      <c r="I218" s="91"/>
      <c r="J218" s="92">
        <f>I218*B218</f>
        <v>0</v>
      </c>
      <c r="K218" s="93"/>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6"/>
      <c r="C220" s="97"/>
      <c r="D220" s="90" t="s">
        <v>74</v>
      </c>
      <c r="E220" s="72"/>
      <c r="F220" s="72"/>
      <c r="G220" s="72"/>
      <c r="H220" s="73"/>
      <c r="I220" s="91"/>
      <c r="J220" s="92">
        <f>I220*B220</f>
        <v>0</v>
      </c>
      <c r="K220" s="93"/>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6"/>
      <c r="C222" s="97"/>
      <c r="D222" s="90" t="s">
        <v>74</v>
      </c>
      <c r="E222" s="72"/>
      <c r="F222" s="72"/>
      <c r="G222" s="72"/>
      <c r="H222" s="73"/>
      <c r="I222" s="91"/>
      <c r="J222" s="92">
        <f>I222*B222</f>
        <v>0</v>
      </c>
      <c r="K222" s="93"/>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6"/>
      <c r="C224" s="97"/>
      <c r="D224" s="90" t="s">
        <v>74</v>
      </c>
      <c r="E224" s="72"/>
      <c r="F224" s="72"/>
      <c r="G224" s="72"/>
      <c r="H224" s="73"/>
      <c r="I224" s="91"/>
      <c r="J224" s="92">
        <f>I224*B224</f>
        <v>0</v>
      </c>
      <c r="K224" s="93"/>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6"/>
      <c r="C226" s="97"/>
      <c r="D226" s="90" t="s">
        <v>74</v>
      </c>
      <c r="E226" s="72"/>
      <c r="F226" s="72"/>
      <c r="G226" s="72"/>
      <c r="H226" s="73"/>
      <c r="I226" s="91"/>
      <c r="J226" s="92">
        <f>I226*B226</f>
        <v>0</v>
      </c>
      <c r="K226" s="93"/>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6"/>
      <c r="C228" s="97"/>
      <c r="D228" s="90" t="s">
        <v>74</v>
      </c>
      <c r="E228" s="72"/>
      <c r="F228" s="72"/>
      <c r="G228" s="72"/>
      <c r="H228" s="73"/>
      <c r="I228" s="91"/>
      <c r="J228" s="92">
        <f>I228*B228</f>
        <v>0</v>
      </c>
      <c r="K228" s="93"/>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6"/>
      <c r="C230" s="97"/>
      <c r="D230" s="90" t="s">
        <v>74</v>
      </c>
      <c r="E230" s="72"/>
      <c r="F230" s="72"/>
      <c r="G230" s="72"/>
      <c r="H230" s="73"/>
      <c r="I230" s="91"/>
      <c r="J230" s="92">
        <f>I230*B230</f>
        <v>0</v>
      </c>
      <c r="K230" s="93"/>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6"/>
      <c r="C232" s="97"/>
      <c r="D232" s="90" t="s">
        <v>74</v>
      </c>
      <c r="E232" s="72"/>
      <c r="F232" s="72"/>
      <c r="G232" s="72"/>
      <c r="H232" s="73"/>
      <c r="I232" s="91"/>
      <c r="J232" s="92">
        <f>I232*B232</f>
        <v>0</v>
      </c>
      <c r="K232" s="93"/>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6"/>
      <c r="C234" s="97"/>
      <c r="D234" s="90" t="s">
        <v>74</v>
      </c>
      <c r="E234" s="72"/>
      <c r="F234" s="72"/>
      <c r="G234" s="72"/>
      <c r="H234" s="73"/>
      <c r="I234" s="91"/>
      <c r="J234" s="92">
        <f>I234*B234</f>
        <v>0</v>
      </c>
      <c r="K234" s="93"/>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6"/>
      <c r="C236" s="97"/>
      <c r="D236" s="90" t="s">
        <v>74</v>
      </c>
      <c r="E236" s="72"/>
      <c r="F236" s="72"/>
      <c r="G236" s="72"/>
      <c r="H236" s="73"/>
      <c r="I236" s="91"/>
      <c r="J236" s="92">
        <f>I236*B236</f>
        <v>0</v>
      </c>
      <c r="K236" s="93"/>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6"/>
      <c r="C238" s="97"/>
      <c r="D238" s="90" t="s">
        <v>74</v>
      </c>
      <c r="E238" s="72"/>
      <c r="F238" s="72"/>
      <c r="G238" s="72"/>
      <c r="H238" s="73"/>
      <c r="I238" s="91"/>
      <c r="J238" s="92">
        <f>I238*B238</f>
        <v>0</v>
      </c>
      <c r="K238" s="93"/>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6"/>
      <c r="C240" s="97"/>
      <c r="D240" s="90" t="s">
        <v>74</v>
      </c>
      <c r="E240" s="72"/>
      <c r="F240" s="72"/>
      <c r="G240" s="72"/>
      <c r="H240" s="73"/>
      <c r="I240" s="91"/>
      <c r="J240" s="92">
        <f>I240*B240</f>
        <v>0</v>
      </c>
      <c r="K240" s="93"/>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6"/>
      <c r="C242" s="97"/>
      <c r="D242" s="90" t="s">
        <v>74</v>
      </c>
      <c r="E242" s="72"/>
      <c r="F242" s="72"/>
      <c r="G242" s="72"/>
      <c r="H242" s="73"/>
      <c r="I242" s="91"/>
      <c r="J242" s="92">
        <f>I242*B242</f>
        <v>0</v>
      </c>
      <c r="K242" s="93"/>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6"/>
      <c r="C244" s="97"/>
      <c r="D244" s="90" t="s">
        <v>74</v>
      </c>
      <c r="E244" s="72"/>
      <c r="F244" s="72"/>
      <c r="G244" s="72"/>
      <c r="H244" s="73"/>
      <c r="I244" s="91"/>
      <c r="J244" s="92">
        <f>I244*B244</f>
        <v>0</v>
      </c>
      <c r="K244" s="93"/>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6"/>
      <c r="C246" s="97"/>
      <c r="D246" s="90" t="s">
        <v>74</v>
      </c>
      <c r="E246" s="72"/>
      <c r="F246" s="72"/>
      <c r="G246" s="72"/>
      <c r="H246" s="73"/>
      <c r="I246" s="91"/>
      <c r="J246" s="92">
        <f>I246*B246</f>
        <v>0</v>
      </c>
      <c r="K246" s="93"/>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6"/>
      <c r="C248" s="97"/>
      <c r="D248" s="90" t="s">
        <v>74</v>
      </c>
      <c r="E248" s="72"/>
      <c r="F248" s="72"/>
      <c r="G248" s="72"/>
      <c r="H248" s="73"/>
      <c r="I248" s="91"/>
      <c r="J248" s="92">
        <f>I248*B248</f>
        <v>0</v>
      </c>
      <c r="K248" s="93"/>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6"/>
      <c r="C250" s="97"/>
      <c r="D250" s="90" t="s">
        <v>74</v>
      </c>
      <c r="E250" s="72"/>
      <c r="F250" s="72"/>
      <c r="G250" s="72"/>
      <c r="H250" s="73"/>
      <c r="I250" s="91"/>
      <c r="J250" s="92">
        <f>I250*B250</f>
        <v>0</v>
      </c>
      <c r="K250" s="93"/>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6"/>
      <c r="C252" s="97"/>
      <c r="D252" s="90" t="s">
        <v>74</v>
      </c>
      <c r="E252" s="72"/>
      <c r="F252" s="72"/>
      <c r="G252" s="72"/>
      <c r="H252" s="73"/>
      <c r="I252" s="91"/>
      <c r="J252" s="92">
        <f>I252*B252</f>
        <v>0</v>
      </c>
      <c r="K252" s="93"/>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6"/>
      <c r="C254" s="97"/>
      <c r="D254" s="90" t="s">
        <v>74</v>
      </c>
      <c r="E254" s="72"/>
      <c r="F254" s="72"/>
      <c r="G254" s="72"/>
      <c r="H254" s="73"/>
      <c r="I254" s="91"/>
      <c r="J254" s="92">
        <f>I254*B254</f>
        <v>0</v>
      </c>
      <c r="K254" s="93"/>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6"/>
      <c r="C256" s="97"/>
      <c r="D256" s="90" t="s">
        <v>74</v>
      </c>
      <c r="E256" s="72"/>
      <c r="F256" s="72"/>
      <c r="G256" s="72"/>
      <c r="H256" s="73"/>
      <c r="I256" s="91"/>
      <c r="J256" s="92">
        <f>I256*B256</f>
        <v>0</v>
      </c>
      <c r="K256" s="93"/>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6"/>
      <c r="C258" s="97"/>
      <c r="D258" s="90" t="s">
        <v>74</v>
      </c>
      <c r="E258" s="72"/>
      <c r="F258" s="72"/>
      <c r="G258" s="72"/>
      <c r="H258" s="73"/>
      <c r="I258" s="91"/>
      <c r="J258" s="92">
        <f>I258*B258</f>
        <v>0</v>
      </c>
      <c r="K258" s="93"/>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6"/>
      <c r="C260" s="97"/>
      <c r="D260" s="90" t="s">
        <v>74</v>
      </c>
      <c r="E260" s="72"/>
      <c r="F260" s="72"/>
      <c r="G260" s="72"/>
      <c r="H260" s="73"/>
      <c r="I260" s="91"/>
      <c r="J260" s="92">
        <f>I260*B260</f>
        <v>0</v>
      </c>
      <c r="K260" s="93"/>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6"/>
      <c r="C262" s="97"/>
      <c r="D262" s="90" t="s">
        <v>74</v>
      </c>
      <c r="E262" s="72"/>
      <c r="F262" s="72"/>
      <c r="G262" s="72"/>
      <c r="H262" s="73"/>
      <c r="I262" s="91"/>
      <c r="J262" s="92">
        <f>I262*B262</f>
        <v>0</v>
      </c>
      <c r="K262" s="93"/>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6"/>
      <c r="C264" s="97"/>
      <c r="D264" s="90" t="s">
        <v>74</v>
      </c>
      <c r="E264" s="72"/>
      <c r="F264" s="72"/>
      <c r="G264" s="72"/>
      <c r="H264" s="73"/>
      <c r="I264" s="91"/>
      <c r="J264" s="92">
        <f>I264*B264</f>
        <v>0</v>
      </c>
      <c r="K264" s="93"/>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6"/>
      <c r="C266" s="97"/>
      <c r="D266" s="90" t="s">
        <v>74</v>
      </c>
      <c r="E266" s="72"/>
      <c r="F266" s="72"/>
      <c r="G266" s="72"/>
      <c r="H266" s="73"/>
      <c r="I266" s="91"/>
      <c r="J266" s="92">
        <f>I266*B266</f>
        <v>0</v>
      </c>
      <c r="K266" s="93"/>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6"/>
      <c r="C268" s="97"/>
      <c r="D268" s="90" t="s">
        <v>74</v>
      </c>
      <c r="E268" s="72"/>
      <c r="F268" s="72"/>
      <c r="G268" s="72"/>
      <c r="H268" s="73"/>
      <c r="I268" s="91"/>
      <c r="J268" s="92">
        <f>I268*B268</f>
        <v>0</v>
      </c>
      <c r="K268" s="93"/>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6"/>
      <c r="C270" s="97"/>
      <c r="D270" s="90" t="s">
        <v>74</v>
      </c>
      <c r="E270" s="72"/>
      <c r="F270" s="72"/>
      <c r="G270" s="72"/>
      <c r="H270" s="73"/>
      <c r="I270" s="91"/>
      <c r="J270" s="92">
        <f>I270*B270</f>
        <v>0</v>
      </c>
      <c r="K270" s="93"/>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6"/>
      <c r="C272" s="97"/>
      <c r="D272" s="90" t="s">
        <v>74</v>
      </c>
      <c r="E272" s="72"/>
      <c r="F272" s="72"/>
      <c r="G272" s="72"/>
      <c r="H272" s="73"/>
      <c r="I272" s="91"/>
      <c r="J272" s="92">
        <f>I272*B272</f>
        <v>0</v>
      </c>
      <c r="K272" s="93"/>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6"/>
      <c r="C274" s="97"/>
      <c r="D274" s="90" t="s">
        <v>74</v>
      </c>
      <c r="E274" s="72"/>
      <c r="F274" s="72"/>
      <c r="G274" s="72"/>
      <c r="H274" s="73"/>
      <c r="I274" s="91"/>
      <c r="J274" s="92">
        <f>I274*B274</f>
        <v>0</v>
      </c>
      <c r="K274" s="93"/>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6"/>
      <c r="C276" s="97"/>
      <c r="D276" s="90" t="s">
        <v>74</v>
      </c>
      <c r="E276" s="72"/>
      <c r="F276" s="72"/>
      <c r="G276" s="72"/>
      <c r="H276" s="73"/>
      <c r="I276" s="91"/>
      <c r="J276" s="92">
        <f>I276*B276</f>
        <v>0</v>
      </c>
      <c r="K276" s="93"/>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6"/>
      <c r="C278" s="97"/>
      <c r="D278" s="90" t="s">
        <v>74</v>
      </c>
      <c r="E278" s="72"/>
      <c r="F278" s="72"/>
      <c r="G278" s="72"/>
      <c r="H278" s="73"/>
      <c r="I278" s="91"/>
      <c r="J278" s="92">
        <f>I278*B278</f>
        <v>0</v>
      </c>
      <c r="K278" s="93"/>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6"/>
      <c r="C280" s="97"/>
      <c r="D280" s="90" t="s">
        <v>74</v>
      </c>
      <c r="E280" s="72"/>
      <c r="F280" s="72"/>
      <c r="G280" s="72"/>
      <c r="H280" s="73"/>
      <c r="I280" s="91"/>
      <c r="J280" s="92">
        <f>I280*B280</f>
        <v>0</v>
      </c>
      <c r="K280" s="93"/>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6"/>
      <c r="C282" s="97"/>
      <c r="D282" s="90" t="s">
        <v>74</v>
      </c>
      <c r="E282" s="72"/>
      <c r="F282" s="72"/>
      <c r="G282" s="72"/>
      <c r="H282" s="73"/>
      <c r="I282" s="91"/>
      <c r="J282" s="92">
        <f>I282*B282</f>
        <v>0</v>
      </c>
      <c r="K282" s="93"/>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6"/>
      <c r="C284" s="97"/>
      <c r="D284" s="90" t="s">
        <v>74</v>
      </c>
      <c r="E284" s="72"/>
      <c r="F284" s="72"/>
      <c r="G284" s="72"/>
      <c r="H284" s="73"/>
      <c r="I284" s="91"/>
      <c r="J284" s="92">
        <f>I284*B284</f>
        <v>0</v>
      </c>
      <c r="K284" s="93"/>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6"/>
      <c r="C286" s="97"/>
      <c r="D286" s="90" t="s">
        <v>74</v>
      </c>
      <c r="E286" s="72"/>
      <c r="F286" s="72"/>
      <c r="G286" s="72"/>
      <c r="H286" s="73"/>
      <c r="I286" s="91"/>
      <c r="J286" s="92">
        <f>I286*B286</f>
        <v>0</v>
      </c>
      <c r="K286" s="93"/>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6"/>
      <c r="C288" s="97"/>
      <c r="D288" s="90" t="s">
        <v>74</v>
      </c>
      <c r="E288" s="72"/>
      <c r="F288" s="72"/>
      <c r="G288" s="72"/>
      <c r="H288" s="73"/>
      <c r="I288" s="91"/>
      <c r="J288" s="92">
        <f>I288*B288</f>
        <v>0</v>
      </c>
      <c r="K288" s="93"/>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6"/>
      <c r="C290" s="97"/>
      <c r="D290" s="90" t="s">
        <v>74</v>
      </c>
      <c r="E290" s="72"/>
      <c r="F290" s="72"/>
      <c r="G290" s="72"/>
      <c r="H290" s="73"/>
      <c r="I290" s="91"/>
      <c r="J290" s="92">
        <f>I290*B290</f>
        <v>0</v>
      </c>
      <c r="K290" s="93"/>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6"/>
      <c r="C292" s="97"/>
      <c r="D292" s="90" t="s">
        <v>74</v>
      </c>
      <c r="E292" s="72"/>
      <c r="F292" s="72"/>
      <c r="G292" s="72"/>
      <c r="H292" s="73"/>
      <c r="I292" s="91"/>
      <c r="J292" s="92">
        <f>I292*B292</f>
        <v>0</v>
      </c>
      <c r="K292" s="93"/>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6"/>
      <c r="C294" s="97"/>
      <c r="D294" s="90" t="s">
        <v>74</v>
      </c>
      <c r="E294" s="72"/>
      <c r="F294" s="72"/>
      <c r="G294" s="72"/>
      <c r="H294" s="73"/>
      <c r="I294" s="91"/>
      <c r="J294" s="92">
        <f>I294*B294</f>
        <v>0</v>
      </c>
      <c r="K294" s="93"/>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6"/>
      <c r="C296" s="97"/>
      <c r="D296" s="90" t="s">
        <v>74</v>
      </c>
      <c r="E296" s="72"/>
      <c r="F296" s="72"/>
      <c r="G296" s="72"/>
      <c r="H296" s="73"/>
      <c r="I296" s="91"/>
      <c r="J296" s="92">
        <f>I296*B296</f>
        <v>0</v>
      </c>
      <c r="K296" s="93"/>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6"/>
      <c r="C298" s="97"/>
      <c r="D298" s="90" t="s">
        <v>74</v>
      </c>
      <c r="E298" s="72"/>
      <c r="F298" s="72"/>
      <c r="G298" s="72"/>
      <c r="H298" s="73"/>
      <c r="I298" s="91"/>
      <c r="J298" s="92">
        <f>I298*B298</f>
        <v>0</v>
      </c>
      <c r="K298" s="93"/>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6"/>
      <c r="C300" s="97"/>
      <c r="D300" s="90" t="s">
        <v>74</v>
      </c>
      <c r="E300" s="72"/>
      <c r="F300" s="72"/>
      <c r="G300" s="72"/>
      <c r="H300" s="73"/>
      <c r="I300" s="91"/>
      <c r="J300" s="92">
        <f>I300*B300</f>
        <v>0</v>
      </c>
      <c r="K300" s="93"/>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6"/>
      <c r="C302" s="97"/>
      <c r="D302" s="90" t="s">
        <v>74</v>
      </c>
      <c r="E302" s="72"/>
      <c r="F302" s="72"/>
      <c r="G302" s="72"/>
      <c r="H302" s="73"/>
      <c r="I302" s="91"/>
      <c r="J302" s="92">
        <f>I302*B302</f>
        <v>0</v>
      </c>
      <c r="K302" s="93"/>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6"/>
      <c r="C304" s="97"/>
      <c r="D304" s="90" t="s">
        <v>74</v>
      </c>
      <c r="E304" s="72"/>
      <c r="F304" s="72"/>
      <c r="G304" s="72"/>
      <c r="H304" s="73"/>
      <c r="I304" s="91"/>
      <c r="J304" s="92">
        <f>I304*B304</f>
        <v>0</v>
      </c>
      <c r="K304" s="93"/>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6"/>
      <c r="C306" s="97"/>
      <c r="D306" s="90" t="s">
        <v>74</v>
      </c>
      <c r="E306" s="72"/>
      <c r="F306" s="72"/>
      <c r="G306" s="72"/>
      <c r="H306" s="73"/>
      <c r="I306" s="91"/>
      <c r="J306" s="92">
        <f>I306*B306</f>
        <v>0</v>
      </c>
      <c r="K306" s="93"/>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6"/>
      <c r="C308" s="97"/>
      <c r="D308" s="90" t="s">
        <v>74</v>
      </c>
      <c r="E308" s="72"/>
      <c r="F308" s="72"/>
      <c r="G308" s="72"/>
      <c r="H308" s="73"/>
      <c r="I308" s="91"/>
      <c r="J308" s="92">
        <f>I308*B308</f>
        <v>0</v>
      </c>
      <c r="K308" s="93"/>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6"/>
      <c r="C310" s="97"/>
      <c r="D310" s="90" t="s">
        <v>74</v>
      </c>
      <c r="E310" s="72"/>
      <c r="F310" s="72"/>
      <c r="G310" s="72"/>
      <c r="H310" s="73"/>
      <c r="I310" s="91"/>
      <c r="J310" s="92">
        <f>I310*B310</f>
        <v>0</v>
      </c>
      <c r="K310" s="93"/>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I18:I19"/>
    <mergeCell ref="J18:J19"/>
    <mergeCell ref="K18:L19"/>
    <mergeCell ref="M18:P19"/>
    <mergeCell ref="D18:H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