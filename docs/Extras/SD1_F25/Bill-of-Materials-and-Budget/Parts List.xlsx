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<sst xmlns="http://schemas.openxmlformats.org/spreadsheetml/2006/main" count="346" uniqueCount="154">
  <si>
    <t>Parts List</t>
  </si>
  <si>
    <t>Status</t>
  </si>
  <si>
    <t xml:space="preserve">Part </t>
  </si>
  <si>
    <t>Description</t>
  </si>
  <si>
    <t xml:space="preserve">Quantity </t>
  </si>
  <si>
    <t xml:space="preserve">Supplier </t>
  </si>
  <si>
    <t>Unit Cost</t>
  </si>
  <si>
    <t>Total Cost</t>
  </si>
  <si>
    <t>Lead Time</t>
  </si>
  <si>
    <t xml:space="preserve">Notes </t>
  </si>
  <si>
    <t>Link</t>
  </si>
  <si>
    <t>Computer Parts</t>
  </si>
  <si>
    <t>Received</t>
  </si>
  <si>
    <t>EW840E5N</t>
  </si>
  <si>
    <t>Open Source BLE 5.2/Thread/Zigbee to Ethernet, WiFi gateway</t>
  </si>
  <si>
    <t>Fanstel</t>
  </si>
  <si>
    <t>1 week</t>
  </si>
  <si>
    <t>Size: Individual</t>
  </si>
  <si>
    <t>485-3571</t>
  </si>
  <si>
    <t>J-Link debugger</t>
  </si>
  <si>
    <t>Mouser</t>
  </si>
  <si>
    <t>5 weeks</t>
  </si>
  <si>
    <t>Low in stock</t>
  </si>
  <si>
    <t>2312-QPG6200LDK-01-ND</t>
  </si>
  <si>
    <t>Development Kit</t>
  </si>
  <si>
    <t>Digikey</t>
  </si>
  <si>
    <t xml:space="preserve">19 Weeks </t>
  </si>
  <si>
    <t>1914-PK-LEW840X-ND</t>
  </si>
  <si>
    <t>EVAL BOARD FOR LEW840X</t>
  </si>
  <si>
    <t>12 Weeks</t>
  </si>
  <si>
    <t>3922-TEW-827DRU-ND</t>
  </si>
  <si>
    <t>Trendnet AC2600 Dual Band Wireless Router</t>
  </si>
  <si>
    <t>B018TQRUWW</t>
  </si>
  <si>
    <t>Cat8 Ethernet Cable, Outdoor&amp;Indoor, 25 FT Heavy Duty High Speed Cat 8 LAN Network Cable, 40Gbps 2000MHz RJ45 Flat Internet Computer Patch Cord, Weatherproof S/FTP UV Resistant for Router/Modem/Gaming</t>
  </si>
  <si>
    <t>Amazon</t>
  </si>
  <si>
    <t>In stock</t>
  </si>
  <si>
    <t>Electrical Parts</t>
  </si>
  <si>
    <t>LR431U-7.2X7IR3</t>
  </si>
  <si>
    <t>5V LED Light Strip with USB A connection</t>
  </si>
  <si>
    <t>The Home Depot</t>
  </si>
  <si>
    <t>Due to the 5V voltage requirement, and data/Power connection the LED light strip can only be found from a non approved vendor.</t>
  </si>
  <si>
    <t>Home Depot</t>
  </si>
  <si>
    <t>1863-1001-ND</t>
  </si>
  <si>
    <t>Ultrasonic Sensor</t>
  </si>
  <si>
    <t>2 weeks</t>
  </si>
  <si>
    <t>102-3861-ND</t>
  </si>
  <si>
    <t xml:space="preserve">        
SPEAKER 8OHM 3W</t>
  </si>
  <si>
    <t>15 weeks</t>
  </si>
  <si>
    <t>595-TPA2034D1YZFT</t>
  </si>
  <si>
    <t>Audio Amplifiers 2.75W Mon Fully Diff Class-D Aud Amp A 595-TPA2034D1YZFR</t>
  </si>
  <si>
    <t>6 weeks</t>
  </si>
  <si>
    <t>EG1930-ND</t>
  </si>
  <si>
    <t>Pushbutton Switch SPST-NO Standard Panel Mount, Front</t>
  </si>
  <si>
    <t>17 weeks</t>
  </si>
  <si>
    <t>On PR</t>
  </si>
  <si>
    <t>A107796-ND</t>
  </si>
  <si>
    <t>2032 coin cell battery holder</t>
  </si>
  <si>
    <t>6017-SPG08P4HM4H-1CT-ND</t>
  </si>
  <si>
    <t>30 Hz ~ 10 kHz Digital, PDM Microphone MEMS</t>
  </si>
  <si>
    <t>14 weeks</t>
  </si>
  <si>
    <t>10-pin 2x5 Socket-Socket 1.27mm IDC (SWD) Cable - 150mm long</t>
  </si>
  <si>
    <t>Adafruit</t>
  </si>
  <si>
    <t>1 Week</t>
  </si>
  <si>
    <t>1175-1627-ND</t>
  </si>
  <si>
    <t>Connector Header Surface Mount 10 position 0.050" (1.27mm)</t>
  </si>
  <si>
    <t>20 weeks</t>
  </si>
  <si>
    <t>High in stock</t>
  </si>
  <si>
    <t>900-2177971022-ND</t>
  </si>
  <si>
    <t xml:space="preserve">	
2 Position Cable Assembly Rectangular Socket to Individual Wire Leads 0.984' </t>
  </si>
  <si>
    <t>21 weeks</t>
  </si>
  <si>
    <t>WM4000-ND</t>
  </si>
  <si>
    <t xml:space="preserve">	
Connector Header Through Hole 2 position 0.100" (2.54mm)</t>
  </si>
  <si>
    <t>High in Stock</t>
  </si>
  <si>
    <t>1276-1192-1-ND</t>
  </si>
  <si>
    <t xml:space="preserve">	
10 µF ±10% 10V Ceramic Capacitor X5R 0603 (1608 Metric)</t>
  </si>
  <si>
    <t>31 weeks</t>
  </si>
  <si>
    <t>1276-1033-1-ND</t>
  </si>
  <si>
    <t xml:space="preserve">	
0.1 µF ±5% 50V Ceramic Capacitor X7R 0603 (1608 Metric)</t>
  </si>
  <si>
    <t>CMS11QCT-ND</t>
  </si>
  <si>
    <t xml:space="preserve">	
Diode 40 V 2A Surface Mount M-FLAT (2.4x3.8)</t>
  </si>
  <si>
    <t>16 weeks</t>
  </si>
  <si>
    <t>311-0.0GRCT-ND</t>
  </si>
  <si>
    <t xml:space="preserve">	
0 Ohms Jumper Chip Resistor 0603 (1608 Metric)</t>
  </si>
  <si>
    <t>18 weeks</t>
  </si>
  <si>
    <t>WM4002-ND</t>
  </si>
  <si>
    <t>Connector Header Through Hole 4 position 0.100" (2.54mm)</t>
  </si>
  <si>
    <t>900-2177971042-ND</t>
  </si>
  <si>
    <t>4 Position Cable Assembly Rectangular Socket to Individual Wire Leads 0.984' (300.00mm, 11.81")</t>
  </si>
  <si>
    <t>296-45314-1-ND</t>
  </si>
  <si>
    <t>12 Bit Digital to Analog Converter 1 8-VSSOP</t>
  </si>
  <si>
    <t>N/A</t>
  </si>
  <si>
    <t>887-1849-1-ND</t>
  </si>
  <si>
    <t>32 MHz ±10ppm Crystal 8pF 80 Ohms 4-SMD, No Lead</t>
  </si>
  <si>
    <t>490-18646-ND</t>
  </si>
  <si>
    <t>Coin, 20.0mm Lithium Manganese Dioxide 3 V Battery Non-Rechargeable (Primary)</t>
  </si>
  <si>
    <t>CKN9565-ND</t>
  </si>
  <si>
    <t>Slide Switch SPDT Through Hole</t>
  </si>
  <si>
    <t>12 weeks</t>
  </si>
  <si>
    <t>490-12783-1-ND</t>
  </si>
  <si>
    <t>3.3 µH Shielded Multilayer Inductor 700 mA 438mOhm Max 0603 (1608 Metric)</t>
  </si>
  <si>
    <t>10 weeks</t>
  </si>
  <si>
    <t>1276-1946-1-ND</t>
  </si>
  <si>
    <t>1 µF ±10% 10V Ceramic Capacitor X7R 0603 (1608 Metric)</t>
  </si>
  <si>
    <t>1276-1040-1-ND</t>
  </si>
  <si>
    <t>2.2 µF ±10% 16V Ceramic Capacitor X5R 0603 (1608 Metric)</t>
  </si>
  <si>
    <t>32 weeks</t>
  </si>
  <si>
    <t>1276-1044-1-ND</t>
  </si>
  <si>
    <t>4.7 µF ±10% 10V Ceramic Capacitor X5R 0603 (1608 Metric)</t>
  </si>
  <si>
    <t xml:space="preserve">31 weeks </t>
  </si>
  <si>
    <t>541-1.00TCT-ND</t>
  </si>
  <si>
    <t>1 Ohms ±1% 0.5W, 1/2W Chip Resistor 0805 (2012 Metric) Automotive AEC-Q200, Pulse Withstanding Thick Film</t>
  </si>
  <si>
    <t>497-18288-1-ND</t>
  </si>
  <si>
    <t>Linear Voltage Regulator IC Positive Fixed 1 Output 400mA 6-DFN (3x3)</t>
  </si>
  <si>
    <t>24 weeks</t>
  </si>
  <si>
    <t>311-10.0KHRCT-ND</t>
  </si>
  <si>
    <t>10 kOhms ±1% 0.1W, 1/10W Chip Resistor 0603 (1608 Metric) Moisture Resistant Thick Film</t>
  </si>
  <si>
    <t>High in stock/ HOLD OFF ON ORDER</t>
  </si>
  <si>
    <t>772-QPG6200LTR13</t>
  </si>
  <si>
    <t>Qorvo SOC 10DBM 4X4QFN32</t>
  </si>
  <si>
    <t>22 weeks</t>
  </si>
  <si>
    <t>JCL PCB 6 layer estimate</t>
  </si>
  <si>
    <t>JLC PCB</t>
  </si>
  <si>
    <t>497-LDO40LPU50RYCT-ND</t>
  </si>
  <si>
    <t>296-38372-1-ND</t>
  </si>
  <si>
    <t>Audio Amplifier 2 Circuit Rail-to-Rail 8-SON (3x3)</t>
  </si>
  <si>
    <t>Low in stock/ HOLD OFF ON ORDER</t>
  </si>
  <si>
    <t>478-600S2R2AT250XT4KCT-ND</t>
  </si>
  <si>
    <t>2.2 pF ±0.05pF 250V Ceramic Capacitor C0G, NP0 0603 (1608 Metric)</t>
  </si>
  <si>
    <t>1284-600S1R5BT250XT4KCT-ND</t>
  </si>
  <si>
    <t>1.5 pF ±0.1pF 250V Ceramic Capacitor C0G, NP0 0603 (1608 Metric)</t>
  </si>
  <si>
    <t>478-600S1R8BT250XT4KCT-ND</t>
  </si>
  <si>
    <t>1.8 pF ±0.1pF 250V Ceramic Capacitor C0G, NP0 0603 (1608 Metric)</t>
  </si>
  <si>
    <t>478-600S180FT250XT4KCT-ND</t>
  </si>
  <si>
    <t>18 pF ±1% 250V Ceramic Capacitor C0G, NP0 0603 (1608 Metric)</t>
  </si>
  <si>
    <t>445-MHQ0402PSA2N9ST000CT-ND</t>
  </si>
  <si>
    <t>2.9 nH Shielded Multilayer Inductor 250 mA 600mOhm Max 01005 (0402 Metric)</t>
  </si>
  <si>
    <t>SAM8971-ND</t>
  </si>
  <si>
    <t>SMA Connector Jack, Female Socket 50 Ohms Through Hole Solder</t>
  </si>
  <si>
    <t>4 weeks</t>
  </si>
  <si>
    <t>JLC PCB construction cost</t>
  </si>
  <si>
    <t>Mechanical Parts</t>
  </si>
  <si>
    <t>B0C8HWQYXF</t>
  </si>
  <si>
    <t>Elegoo 1 kg 3d printer filament (marble)</t>
  </si>
  <si>
    <t>B0D3X5CT2J</t>
  </si>
  <si>
    <t>M3 Bolt Set</t>
  </si>
  <si>
    <t>B079KTVRC9</t>
  </si>
  <si>
    <t>Apache 3800 carrying case</t>
  </si>
  <si>
    <t>Mechanical Total</t>
  </si>
  <si>
    <t xml:space="preserve">Electrical Total </t>
  </si>
  <si>
    <t>Computer Total</t>
  </si>
  <si>
    <t>Budget Remaining</t>
  </si>
  <si>
    <t>Total Spent:</t>
  </si>
  <si>
    <t>Cost Per Device</t>
  </si>
  <si>
    <t xml:space="preserve">Total Budget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</si>
</sst>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/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333333"/>
      <name val="Arial"/>
      <scheme val="minor"/>
    </font>
    <font>
      <sz val="10.0"/>
      <color rgb="FF444444"/>
      <name val="Arial"/>
      <scheme val="minor"/>
    </font>
    <font>
      <sz val="10.0"/>
      <color rgb="FF222222"/>
      <name val="Arial"/>
      <scheme val="minor"/>
    </font>
    <font>
      <u/>
      <color rgb="FF0000FF"/>
    </font>
    <font>
      <color theme="1"/>
      <name val="Arial"/>
    </font>
    <font>
      <sz val="9.0"/>
      <color rgb="FF222222"/>
      <name val="Roboto"/>
    </font>
    <font>
      <u/>
      <color rgb="FF0000FF"/>
      <name val="Arial"/>
    </font>
    <font>
      <u/>
      <sz val="10.0"/>
      <color rgb="FF0000FF"/>
    </font>
    <font>
      <sz val="10.0"/>
      <color rgb="FF0F1111"/>
      <name val="Arial"/>
      <scheme val="minor"/>
    </font>
    <font>
      <b/>
      <sz val="10.0"/>
      <color rgb="FF222222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4" fillId="2" fontId="5" numFmtId="0" xfId="0" applyAlignment="1" applyBorder="1" applyFill="1" applyFont="1">
      <alignment readingOrder="0"/>
    </xf>
    <xf borderId="4" fillId="3" fontId="5" numFmtId="0" xfId="0" applyAlignment="1" applyBorder="1" applyFill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4" fillId="3" fontId="0" numFmtId="0" xfId="0" applyAlignment="1" applyBorder="1" applyFont="1">
      <alignment horizontal="left" readingOrder="0"/>
    </xf>
    <xf borderId="4" fillId="0" fontId="5" numFmtId="164" xfId="0" applyAlignment="1" applyBorder="1" applyFont="1" applyNumberFormat="1">
      <alignment horizontal="left" readingOrder="0"/>
    </xf>
    <xf borderId="4" fillId="4" fontId="5" numFmtId="164" xfId="0" applyAlignment="1" applyBorder="1" applyFill="1" applyFont="1" applyNumberFormat="1">
      <alignment horizontal="left" readingOrder="0"/>
    </xf>
    <xf borderId="4" fillId="0" fontId="6" numFmtId="0" xfId="0" applyAlignment="1" applyBorder="1" applyFont="1">
      <alignment readingOrder="0" shrinkToFit="0" wrapText="0"/>
    </xf>
    <xf borderId="0" fillId="5" fontId="7" numFmtId="0" xfId="0" applyAlignment="1" applyFill="1" applyFont="1">
      <alignment horizontal="left" readingOrder="0"/>
    </xf>
    <xf borderId="4" fillId="0" fontId="8" numFmtId="0" xfId="0" applyAlignment="1" applyBorder="1" applyFont="1">
      <alignment horizontal="left" readingOrder="0" vertical="top"/>
    </xf>
    <xf borderId="4" fillId="5" fontId="9" numFmtId="164" xfId="0" applyAlignment="1" applyBorder="1" applyFont="1" applyNumberFormat="1">
      <alignment horizontal="left" readingOrder="0" shrinkToFit="0" wrapText="0"/>
    </xf>
    <xf borderId="4" fillId="0" fontId="10" numFmtId="0" xfId="0" applyAlignment="1" applyBorder="1" applyFont="1">
      <alignment readingOrder="0"/>
    </xf>
    <xf borderId="4" fillId="5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readingOrder="0" vertical="bottom"/>
    </xf>
    <xf borderId="4" fillId="0" fontId="11" numFmtId="0" xfId="0" applyAlignment="1" applyBorder="1" applyFont="1">
      <alignment horizontal="left" vertical="bottom"/>
    </xf>
    <xf borderId="4" fillId="3" fontId="11" numFmtId="0" xfId="0" applyAlignment="1" applyBorder="1" applyFont="1">
      <alignment readingOrder="0" vertical="bottom"/>
    </xf>
    <xf borderId="4" fillId="5" fontId="12" numFmtId="164" xfId="0" applyAlignment="1" applyBorder="1" applyFont="1" applyNumberFormat="1">
      <alignment horizontal="left" readingOrder="0" shrinkToFit="0" vertical="bottom" wrapText="0"/>
    </xf>
    <xf borderId="4" fillId="4" fontId="5" numFmtId="164" xfId="0" applyAlignment="1" applyBorder="1" applyFont="1" applyNumberFormat="1">
      <alignment horizontal="left"/>
    </xf>
    <xf borderId="4" fillId="0" fontId="13" numFmtId="0" xfId="0" applyAlignment="1" applyBorder="1" applyFont="1">
      <alignment readingOrder="0" shrinkToFit="0" vertical="bottom" wrapText="0"/>
    </xf>
    <xf borderId="4" fillId="0" fontId="5" numFmtId="164" xfId="0" applyAlignment="1" applyBorder="1" applyFont="1" applyNumberFormat="1">
      <alignment horizontal="left" readingOrder="0"/>
    </xf>
    <xf borderId="4" fillId="6" fontId="5" numFmtId="164" xfId="0" applyAlignment="1" applyBorder="1" applyFill="1" applyFont="1" applyNumberFormat="1">
      <alignment horizontal="left"/>
    </xf>
    <xf borderId="4" fillId="0" fontId="0" numFmtId="0" xfId="0" applyAlignment="1" applyBorder="1" applyFont="1">
      <alignment horizontal="left" readingOrder="0"/>
    </xf>
    <xf borderId="4" fillId="3" fontId="5" numFmtId="164" xfId="0" applyAlignment="1" applyBorder="1" applyFont="1" applyNumberFormat="1">
      <alignment horizontal="left" readingOrder="0"/>
    </xf>
    <xf borderId="4" fillId="3" fontId="14" numFmtId="0" xfId="0" applyAlignment="1" applyBorder="1" applyFont="1">
      <alignment readingOrder="0" shrinkToFit="0" wrapText="0"/>
    </xf>
    <xf borderId="0" fillId="3" fontId="4" numFmtId="0" xfId="0" applyFont="1"/>
    <xf borderId="4" fillId="5" fontId="7" numFmtId="0" xfId="0" applyAlignment="1" applyBorder="1" applyFont="1">
      <alignment horizontal="left" readingOrder="0"/>
    </xf>
    <xf borderId="4" fillId="7" fontId="5" numFmtId="0" xfId="0" applyAlignment="1" applyBorder="1" applyFill="1" applyFont="1">
      <alignment readingOrder="0"/>
    </xf>
    <xf borderId="4" fillId="6" fontId="5" numFmtId="164" xfId="0" applyAlignment="1" applyBorder="1" applyFont="1" applyNumberFormat="1">
      <alignment horizontal="left" readingOrder="0"/>
    </xf>
    <xf borderId="4" fillId="0" fontId="5" numFmtId="0" xfId="0" applyBorder="1" applyFont="1"/>
    <xf borderId="4" fillId="8" fontId="0" numFmtId="0" xfId="0" applyAlignment="1" applyBorder="1" applyFill="1" applyFont="1">
      <alignment horizontal="left" readingOrder="0"/>
    </xf>
    <xf borderId="4" fillId="0" fontId="5" numFmtId="0" xfId="0" applyAlignment="1" applyBorder="1" applyFont="1">
      <alignment horizontal="left"/>
    </xf>
    <xf borderId="4" fillId="5" fontId="4" numFmtId="0" xfId="0" applyAlignment="1" applyBorder="1" applyFont="1">
      <alignment readingOrder="0"/>
    </xf>
    <xf borderId="4" fillId="8" fontId="5" numFmtId="0" xfId="0" applyAlignment="1" applyBorder="1" applyFont="1">
      <alignment horizontal="left" readingOrder="0"/>
    </xf>
    <xf borderId="4" fillId="0" fontId="11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6" fontId="5" numFmtId="164" xfId="0" applyAlignment="1" applyBorder="1" applyFont="1" applyNumberFormat="1">
      <alignment horizontal="center" readingOrder="0"/>
    </xf>
    <xf borderId="4" fillId="0" fontId="15" numFmtId="0" xfId="0" applyAlignment="1" applyBorder="1" applyFont="1">
      <alignment readingOrder="0"/>
    </xf>
    <xf borderId="4" fillId="9" fontId="5" numFmtId="164" xfId="0" applyAlignment="1" applyBorder="1" applyFill="1" applyFont="1" applyNumberFormat="1">
      <alignment horizontal="left"/>
    </xf>
    <xf borderId="4" fillId="9" fontId="5" numFmtId="164" xfId="0" applyAlignment="1" applyBorder="1" applyFont="1" applyNumberFormat="1">
      <alignment horizontal="left" readingOrder="0"/>
    </xf>
    <xf borderId="4" fillId="0" fontId="7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4" fillId="0" fontId="1" numFmtId="0" xfId="0" applyAlignment="1" applyBorder="1" applyFont="1">
      <alignment readingOrder="0"/>
    </xf>
    <xf borderId="4" fillId="0" fontId="4" numFmtId="164" xfId="0" applyAlignment="1" applyBorder="1" applyFont="1" applyNumberFormat="1">
      <alignment horizontal="right"/>
    </xf>
    <xf borderId="4" fillId="0" fontId="1" numFmtId="0" xfId="0" applyAlignment="1" applyBorder="1" applyFont="1">
      <alignment horizontal="left" readingOrder="0"/>
    </xf>
    <xf borderId="5" fillId="5" fontId="16" numFmtId="0" xfId="0" applyAlignment="1" applyBorder="1" applyFont="1">
      <alignment readingOrder="0"/>
    </xf>
    <xf borderId="5" fillId="0" fontId="5" numFmtId="164" xfId="0" applyAlignment="1" applyBorder="1" applyFont="1" applyNumberFormat="1">
      <alignment horizontal="right"/>
    </xf>
    <xf borderId="4" fillId="0" fontId="4" numFmtId="165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Budget Breakdown</a:t>
            </a:r>
          </a:p>
        </c:rich>
      </c:tx>
      <c:layout>
        <c:manualLayout>
          <c:xMode val="edge"/>
          <c:yMode val="edge"/>
          <c:x val="-0.06912790697674419"/>
          <c:y val="0.1629943502824858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0000FF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00FF00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Lbls>
            <c:dLbl>
              <c:idx val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Sheet1!$F$56:$F$59</c:f>
            </c:strRef>
          </c:cat>
          <c:val>
            <c:numRef>
              <c:f>Sheet1!$G$56:$G$59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620171693313954"/>
          <c:y val="0.4354990583804143"/>
        </c:manualLayout>
      </c:layout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63</xdr:row>
      <xdr:rowOff>38100</xdr:rowOff>
    </xdr:from>
    <xdr:ext cx="8191500" cy="5133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kyocera-avx/600S1R5BT250XT4K/3905021" TargetMode="External"/><Relationship Id="rId20" Type="http://schemas.openxmlformats.org/officeDocument/2006/relationships/hyperlink" Target="https://www.digikey.com/en/products/detail/toshiba-semiconductor-and-storage/CMS11-TE12L-Q-M/871546" TargetMode="External"/><Relationship Id="rId42" Type="http://schemas.openxmlformats.org/officeDocument/2006/relationships/hyperlink" Target="https://www.digikey.com/en/products/detail/kyocera-avx/600S180FT250XT4K/3905199" TargetMode="External"/><Relationship Id="rId41" Type="http://schemas.openxmlformats.org/officeDocument/2006/relationships/hyperlink" Target="https://www.digikey.com/en/products/detail/kyocera-avx/600S1R8BT250XT4K/3905022" TargetMode="External"/><Relationship Id="rId22" Type="http://schemas.openxmlformats.org/officeDocument/2006/relationships/hyperlink" Target="https://www.digikey.com/en/products/detail/molex/0022032041/26627?s=N4IgTCBcDa5gDAZgQFgIwgLoF8g" TargetMode="External"/><Relationship Id="rId44" Type="http://schemas.openxmlformats.org/officeDocument/2006/relationships/hyperlink" Target="https://www.digikey.com/en/products/detail/samtec-inc/SMA-J-P-H-ST-TH1/2345104" TargetMode="External"/><Relationship Id="rId21" Type="http://schemas.openxmlformats.org/officeDocument/2006/relationships/hyperlink" Target="https://www.digikey.com/en/products/detail/yageo/RC0603JR-070RL/726675" TargetMode="External"/><Relationship Id="rId43" Type="http://schemas.openxmlformats.org/officeDocument/2006/relationships/hyperlink" Target="https://www.digikey.com/en/products/detail/tdk-corporation/MHQ0402PSA2N9ST000/6205395?s=N4IgjCBcoBwAxVAYygMwIYBsDOBTANCAPZQDaIALHAExwDMEAuoQA4AuUIAymwE4CWAOwDmIAL6FaMAOyIQ7TgFVB-NgHlUAWVzpsAV164QhPZ0EAJYyAC2QztQB0ATivX0AD3vPxhALTU5FEg%2BPQJiMhAAVhBGCRBfF2gQIJCwkkhyJjE4gIyQAElBABM9JDYiXhixIA" TargetMode="External"/><Relationship Id="rId24" Type="http://schemas.openxmlformats.org/officeDocument/2006/relationships/hyperlink" Target="https://www.digikey.com/en/products/detail/texas-instruments/DAC6551AQDGKRQ1/6600067" TargetMode="External"/><Relationship Id="rId46" Type="http://schemas.openxmlformats.org/officeDocument/2006/relationships/hyperlink" Target="https://www.amazon.com/Screws-Assortment-Plated-Socket-Washers/dp/B0D3X5CT2J/ref=sr_1_3?crid=1GCYWVZ8Y5EC3&amp;dib=eyJ2IjoiMSJ9.UHwqaMDD-e5oGVI1E7ZceLp2NDlSwQSazjI3b0ms_CRFrfUWHzPmTdCLRKIeKb8R9NxRdzD5YhClawBfZFMASgoQTvo0NCLLoJCrpDTks3Xdsqh_MFvO8e05nCnLrQVYafm6oGHkug44wRY51xfu2PzK9_iea3yrwrkh1ZX2VJBlwhTot2HKKycehPQmdTihQsdOvf81r2FPVco9VWVOUHS6iJADJvgJ0RKAdvQCQAc.M2Rx_bqLtQkBcRP65Fj7mRJ7GqSZKmYznU6lEb273yk&amp;dib_tag=se&amp;keywords=m3%2Bbolts&amp;qid=1762429167&amp;sprefix=m3%2Bbolt%2Caps%2C114&amp;sr=8-3&amp;th=1" TargetMode="External"/><Relationship Id="rId23" Type="http://schemas.openxmlformats.org/officeDocument/2006/relationships/hyperlink" Target="https://www.digikey.com/en/products/detail/molex/2177971042/14638031" TargetMode="External"/><Relationship Id="rId45" Type="http://schemas.openxmlformats.org/officeDocument/2006/relationships/hyperlink" Target="https://www.amazon.com/ELEGOO-Filament-Dimensional-Accuracy-Cardboard/dp/B0C8HWQYXF/ref=sr_1_3?crid=11AG0IZL83J6R&amp;dib=eyJ2IjoiMSJ9.vUpb9DrlmTtOKm8fAExTwpJK9oKAUY2M2wWthX9dRxHkKTabB7pGyUL72wuWwn8iJha0uv_hsrxyzIOo3UP1fX-e7hQ4Cg_fr1pU5hUTQgNQGhBWXIAYQyHGFTnrGm1EVD2ji1RM8YqXASs5351vlScAMlJYF7by3kS0j8cRZz5RTi83E3pPdNsaBMujtqrTok8BAoIFCRKyR9-z6YUF8Un1s5GNoYSUF9eHMy4He-U.lSQTFeRsRIgusd3D60oKWMF7Oc_jai9423bqvqpU_Qc&amp;dib_tag=se&amp;keywords=3d%2Bprinter%2Bfilament%2Bmarble&amp;qid=1762425018&amp;sprefix=3d%2Bprinter%2Bfilament%2Bmarble%2Caps%2C106&amp;sr=8-3&amp;th=1" TargetMode="External"/><Relationship Id="rId1" Type="http://schemas.openxmlformats.org/officeDocument/2006/relationships/hyperlink" Target="https://www.fanstel.com/buy/ew840e5p" TargetMode="External"/><Relationship Id="rId2" Type="http://schemas.openxmlformats.org/officeDocument/2006/relationships/hyperlink" Target="https://www.mouser.com/ProductDetail/Adafruit/3571?qs=YCa%2FAAYMW03SrXLinBpZFw%3D%3D&amp;srsltid=AfmBOoqgyoaoIFrHK1tyASD3ZbFZ3Byf-JVXFNIjFkHmf_8ldS7yZsZb" TargetMode="External"/><Relationship Id="rId3" Type="http://schemas.openxmlformats.org/officeDocument/2006/relationships/hyperlink" Target="https://www.digikey.com/en/products/detail/qorvo/QPG6200LDK-01/26742318" TargetMode="External"/><Relationship Id="rId4" Type="http://schemas.openxmlformats.org/officeDocument/2006/relationships/hyperlink" Target="https://www.digikey.com/en/products/detail/fanstel-corp/PK-LEW840X/13174286" TargetMode="External"/><Relationship Id="rId9" Type="http://schemas.openxmlformats.org/officeDocument/2006/relationships/hyperlink" Target="https://www.digikey.com/en/products/detail/same-sky-formerly-cui-devices/CSS-66668N/6145945" TargetMode="External"/><Relationship Id="rId26" Type="http://schemas.openxmlformats.org/officeDocument/2006/relationships/hyperlink" Target="https://www.digikey.com/en/products/detail/murata-electronics/CR2032/9558425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www.digikey.com/en/products/detail/txc-corporation/8Q-32-000MEEV-T/3597960?gclsrc=aw.ds&amp;gad_source=1&amp;gad_campaignid=120565755&amp;gbraid=0AAAAADrbLlhkKayVtbh_gVGdszSXnkWJx&amp;gclid=CjwKCAjw3tzHBhBREiwAlMJoUsYqmcMkN5rXcgUjBhSr16iWbJfCaNQ2_X61NQ97VYHktF1ybGEhARoCYX0QAvD_BwE" TargetMode="External"/><Relationship Id="rId47" Type="http://schemas.openxmlformats.org/officeDocument/2006/relationships/hyperlink" Target="https://www.amazon.com/Apache-Watertight-Protective-Hardcase-Customizable/dp/B079KTVRC9/ref=sr_1_5?crid=2RGB98OCVH3YX&amp;dib=eyJ2IjoiMSJ9.4cvHjrqYAYyYVx17o8TVQF_fm0uP5AX4pItkiptlnBGKD-kRe7rBtLQoSdeqp6W-rAgOnnn4RktQji4a7VCmfTcS8bDjO059BQO2ZJxBC190lb8oiCVrkFHT0sFHCm3fZCd7l1yAFwK5IyeERqzo7fyFqhSzj4y941WDq1FBQNIICoE2hBG22X0rpPTVBsAvToA0FbqdrcOREqY0K2--aXc5bmi83Jw4P_7TnCmqDGONV4LafWSJQ_sYyqdioDFwHA_aFeqdK60btZ1bZXwfojte3wolFkojsZqiqtmztXQ.IQ6q5XfXh-ZsjpWzzE1OcyaaKtkR6sctsfH83yHB8m8&amp;dib_tag=se&amp;keywords=apache+4800&amp;qid=1762429678&amp;s=sporting-goods&amp;sprefix=apache+4800%2Csporting%2C74&amp;sr=1-5" TargetMode="External"/><Relationship Id="rId28" Type="http://schemas.openxmlformats.org/officeDocument/2006/relationships/hyperlink" Target="https://www.digikey.com/en/products/detail/murata-electronics/LQM18PN3R3MFRL/4359185" TargetMode="External"/><Relationship Id="rId27" Type="http://schemas.openxmlformats.org/officeDocument/2006/relationships/hyperlink" Target="https://www.digikey.com/en/products/detail/c-k/OS102011MS2QN1/411602" TargetMode="External"/><Relationship Id="rId5" Type="http://schemas.openxmlformats.org/officeDocument/2006/relationships/hyperlink" Target="https://www.digikey.com/en/products/detail/trendnet/TEW-827DRU/21433752?gclsrc=aw.ds&amp;gad_source=4&amp;gad_campaignid=20243136172&amp;gbraid=0AAAAADrbLlh8z1HcvaQGU3hukYczEBTzM&amp;gclid=CjwKCAiAoNbIBhB5EiwAZFbYGE6Dy_2DpxokL225H7CC0hjuwyY2vsB4emprYmjPu1nE9alF3O2UpBoCe5cQAvD_BwE" TargetMode="External"/><Relationship Id="rId6" Type="http://schemas.openxmlformats.org/officeDocument/2006/relationships/hyperlink" Target="https://www.amazon.com/dp/B018TQRUWW?ref=ppx_yo2ov_dt_b_fed_asin_title&amp;th=1" TargetMode="External"/><Relationship Id="rId29" Type="http://schemas.openxmlformats.org/officeDocument/2006/relationships/hyperlink" Target="https://www.digikey.com/en/products/detail/samsung-electro-mechanics/CL10B105KP8NNNC/3887604" TargetMode="External"/><Relationship Id="rId7" Type="http://schemas.openxmlformats.org/officeDocument/2006/relationships/hyperlink" Target="https://www.homedepot.com/p/EcoSmart-9-8-ft-RGB-Color-Changing-Dimmable-USB-Powered-LED-Black-Strip-Light-with-Remote-Control-LR431U-7-2X7IR3/325224207" TargetMode="External"/><Relationship Id="rId8" Type="http://schemas.openxmlformats.org/officeDocument/2006/relationships/hyperlink" Target="https://www.digikey.com/en/products/detail/maxbotix-inc/MB1000-000/7896773" TargetMode="External"/><Relationship Id="rId31" Type="http://schemas.openxmlformats.org/officeDocument/2006/relationships/hyperlink" Target="https://www.digikey.com/en/products/detail/samsung-electro-mechanics/CL10A475KP8NNNC/3886702" TargetMode="External"/><Relationship Id="rId30" Type="http://schemas.openxmlformats.org/officeDocument/2006/relationships/hyperlink" Target="https://www.digikey.com/en/products/detail/samsung-electro-mechanics/CL10A225KO8NNNC/3886698" TargetMode="External"/><Relationship Id="rId11" Type="http://schemas.openxmlformats.org/officeDocument/2006/relationships/hyperlink" Target="https://www.digikey.com/en/products/detail/e-switch/RP3502ARED/280448" TargetMode="External"/><Relationship Id="rId33" Type="http://schemas.openxmlformats.org/officeDocument/2006/relationships/hyperlink" Target="https://www.digikey.com/en/products/detail/stmicroelectronics/LDO40LPU33RY/9687065" TargetMode="External"/><Relationship Id="rId10" Type="http://schemas.openxmlformats.org/officeDocument/2006/relationships/hyperlink" Target="https://www.mouser.com/ProductDetail/Texas-Instruments/TPA2034D1YZFT?qs=SnxTrzcm0GgF7TuFxSl%2Fdg%3D%3D&amp;srsltid=AfmBOoqrCDS8AdZSyLFmDxrrQDxG43wh5ptHcTcBHy4uWONmmeyAPbBU" TargetMode="External"/><Relationship Id="rId32" Type="http://schemas.openxmlformats.org/officeDocument/2006/relationships/hyperlink" Target="https://www.digikey.com/en/products/detail/vishay-dale/CRCW08051R00FKEAHP/2222318" TargetMode="External"/><Relationship Id="rId13" Type="http://schemas.openxmlformats.org/officeDocument/2006/relationships/hyperlink" Target="https://www.digikey.com/en/products/detail/syntiant/SPG08P4HM4H-1/10130506" TargetMode="External"/><Relationship Id="rId35" Type="http://schemas.openxmlformats.org/officeDocument/2006/relationships/hyperlink" Target="https://www.mouser.com/ProductDetail/Qorvo/QPG6200LTR13?qs=NeOn4crkEutpNptYrF3YFA%3D%3D" TargetMode="External"/><Relationship Id="rId12" Type="http://schemas.openxmlformats.org/officeDocument/2006/relationships/hyperlink" Target="https://www.digikey.com/en/products/detail/te-connectivity-amp-connectors/1775485-1/4021677" TargetMode="External"/><Relationship Id="rId34" Type="http://schemas.openxmlformats.org/officeDocument/2006/relationships/hyperlink" Target="https://www.digikey.com/en/products/detail/yageo/RC0603FR-0710KL/726880" TargetMode="External"/><Relationship Id="rId15" Type="http://schemas.openxmlformats.org/officeDocument/2006/relationships/hyperlink" Target="https://www.digikey.com/en/products/detail/cnc-tech/3220-10-0100-00/3883661" TargetMode="External"/><Relationship Id="rId37" Type="http://schemas.openxmlformats.org/officeDocument/2006/relationships/hyperlink" Target="https://www.digikey.com/en/products/detail/stmicroelectronics/LDO40LPU50RY/12179087" TargetMode="External"/><Relationship Id="rId14" Type="http://schemas.openxmlformats.org/officeDocument/2006/relationships/hyperlink" Target="https://www.adafruit.com/product/1675" TargetMode="External"/><Relationship Id="rId36" Type="http://schemas.openxmlformats.org/officeDocument/2006/relationships/hyperlink" Target="https://cart.jlcpcb.com/quote?orderType=1&amp;stencilLayer=6&amp;stencilWidth=63.5&amp;stencilLength=63.5&amp;stencilCounts=5&amp;spm=Jlcpcb.Homepage.1010" TargetMode="External"/><Relationship Id="rId17" Type="http://schemas.openxmlformats.org/officeDocument/2006/relationships/hyperlink" Target="https://www.digikey.com/en/products/detail/molex/0022032021/26623" TargetMode="External"/><Relationship Id="rId39" Type="http://schemas.openxmlformats.org/officeDocument/2006/relationships/hyperlink" Target="https://www.digikey.com/en/products/detail/kyocera-avx/600S2R2AT250XT4K/3905215" TargetMode="External"/><Relationship Id="rId16" Type="http://schemas.openxmlformats.org/officeDocument/2006/relationships/hyperlink" Target="https://www.digikey.com/en/products/detail/molex/2177971022/14637998" TargetMode="External"/><Relationship Id="rId38" Type="http://schemas.openxmlformats.org/officeDocument/2006/relationships/hyperlink" Target="https://www.digikey.com/en/products/detail/texas-instruments/OPA1612AIDRGT/4989076" TargetMode="External"/><Relationship Id="rId19" Type="http://schemas.openxmlformats.org/officeDocument/2006/relationships/hyperlink" Target="https://www.digikey.com/en/products/detail/samsung-electro-mechanics/CL10B104JB8NNNC/3886691" TargetMode="External"/><Relationship Id="rId18" Type="http://schemas.openxmlformats.org/officeDocument/2006/relationships/hyperlink" Target="https://www.digikey.com/en/products/detail/samsung-electro-mechanics/CL10A106KP8NNNC/3886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8.63"/>
    <col customWidth="1" min="3" max="3" width="82.63"/>
    <col customWidth="1" min="4" max="4" width="8.25"/>
    <col customWidth="1" min="5" max="5" width="13.75"/>
    <col customWidth="1" min="6" max="6" width="15.75"/>
    <col customWidth="1" min="7" max="7" width="9.0"/>
    <col customWidth="1" min="9" max="9" width="21.25"/>
    <col customWidth="1" min="10" max="10" width="17.88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1"/>
      <c r="C2" s="1"/>
      <c r="D2" s="1"/>
      <c r="E2" s="1"/>
      <c r="F2" s="1"/>
      <c r="G2" s="1"/>
      <c r="H2" s="1"/>
      <c r="I2" s="1"/>
    </row>
    <row r="3">
      <c r="A3" s="2" t="s">
        <v>0</v>
      </c>
      <c r="B3" s="3"/>
      <c r="C3" s="3"/>
      <c r="D3" s="3"/>
      <c r="E3" s="3"/>
      <c r="F3" s="3"/>
      <c r="G3" s="3"/>
      <c r="H3" s="3"/>
      <c r="I3" s="3"/>
      <c r="J3" s="4"/>
      <c r="M3" s="5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6" t="s">
        <v>10</v>
      </c>
      <c r="M4" s="8"/>
    </row>
    <row r="5">
      <c r="A5" s="2" t="s">
        <v>11</v>
      </c>
      <c r="B5" s="3"/>
      <c r="C5" s="3"/>
      <c r="D5" s="3"/>
      <c r="E5" s="3"/>
      <c r="F5" s="3"/>
      <c r="G5" s="3"/>
      <c r="H5" s="3"/>
      <c r="I5" s="3"/>
      <c r="J5" s="4"/>
      <c r="M5" s="8"/>
    </row>
    <row r="6">
      <c r="A6" s="9" t="s">
        <v>12</v>
      </c>
      <c r="B6" s="10" t="s">
        <v>13</v>
      </c>
      <c r="C6" s="11" t="s">
        <v>14</v>
      </c>
      <c r="D6" s="11">
        <v>1.0</v>
      </c>
      <c r="E6" s="12" t="s">
        <v>15</v>
      </c>
      <c r="F6" s="13">
        <v>95.52</v>
      </c>
      <c r="G6" s="14">
        <v>107.52</v>
      </c>
      <c r="H6" s="11" t="s">
        <v>16</v>
      </c>
      <c r="I6" s="11" t="s">
        <v>17</v>
      </c>
      <c r="J6" s="15" t="s">
        <v>15</v>
      </c>
      <c r="M6" s="8"/>
    </row>
    <row r="7">
      <c r="A7" s="9" t="s">
        <v>12</v>
      </c>
      <c r="B7" s="16" t="s">
        <v>18</v>
      </c>
      <c r="C7" s="11" t="s">
        <v>19</v>
      </c>
      <c r="D7" s="11">
        <v>2.0</v>
      </c>
      <c r="E7" s="10" t="s">
        <v>20</v>
      </c>
      <c r="F7" s="13">
        <v>74.94</v>
      </c>
      <c r="G7" s="14">
        <f>D7*F7</f>
        <v>149.88</v>
      </c>
      <c r="H7" s="11" t="s">
        <v>21</v>
      </c>
      <c r="I7" s="11" t="s">
        <v>22</v>
      </c>
      <c r="J7" s="15" t="s">
        <v>20</v>
      </c>
    </row>
    <row r="8">
      <c r="A8" s="9" t="s">
        <v>12</v>
      </c>
      <c r="B8" s="17" t="s">
        <v>23</v>
      </c>
      <c r="C8" s="11" t="s">
        <v>24</v>
      </c>
      <c r="D8" s="11">
        <v>1.0</v>
      </c>
      <c r="E8" s="10" t="s">
        <v>25</v>
      </c>
      <c r="F8" s="18">
        <v>348.75</v>
      </c>
      <c r="G8" s="14">
        <v>355.74</v>
      </c>
      <c r="H8" s="11" t="s">
        <v>26</v>
      </c>
      <c r="I8" s="11" t="s">
        <v>22</v>
      </c>
      <c r="J8" s="19" t="s">
        <v>25</v>
      </c>
    </row>
    <row r="9">
      <c r="A9" s="9" t="s">
        <v>12</v>
      </c>
      <c r="B9" s="17" t="s">
        <v>27</v>
      </c>
      <c r="C9" s="11" t="s">
        <v>28</v>
      </c>
      <c r="D9" s="11">
        <v>1.0</v>
      </c>
      <c r="E9" s="10" t="s">
        <v>25</v>
      </c>
      <c r="F9" s="18">
        <v>26.64</v>
      </c>
      <c r="G9" s="14">
        <v>29.3</v>
      </c>
      <c r="H9" s="11" t="s">
        <v>29</v>
      </c>
      <c r="I9" s="11" t="s">
        <v>22</v>
      </c>
      <c r="J9" s="19" t="s">
        <v>25</v>
      </c>
    </row>
    <row r="10">
      <c r="A10" s="9" t="s">
        <v>12</v>
      </c>
      <c r="B10" s="20" t="s">
        <v>30</v>
      </c>
      <c r="C10" s="21" t="s">
        <v>31</v>
      </c>
      <c r="D10" s="22">
        <v>1.0</v>
      </c>
      <c r="E10" s="23" t="s">
        <v>25</v>
      </c>
      <c r="F10" s="24">
        <f>62+12</f>
        <v>74</v>
      </c>
      <c r="G10" s="25">
        <f t="shared" ref="G10:G11" si="1">F10*D10</f>
        <v>74</v>
      </c>
      <c r="H10" s="11" t="s">
        <v>16</v>
      </c>
      <c r="I10" s="21" t="s">
        <v>22</v>
      </c>
      <c r="J10" s="26" t="s">
        <v>25</v>
      </c>
    </row>
    <row r="11">
      <c r="A11" s="9" t="s">
        <v>12</v>
      </c>
      <c r="B11" s="11" t="s">
        <v>32</v>
      </c>
      <c r="C11" s="11" t="s">
        <v>33</v>
      </c>
      <c r="D11" s="11">
        <v>1.0</v>
      </c>
      <c r="E11" s="10" t="s">
        <v>34</v>
      </c>
      <c r="F11" s="27">
        <v>11.04</v>
      </c>
      <c r="G11" s="25">
        <f t="shared" si="1"/>
        <v>11.04</v>
      </c>
      <c r="H11" s="11" t="s">
        <v>16</v>
      </c>
      <c r="I11" s="11" t="s">
        <v>35</v>
      </c>
      <c r="J11" s="15" t="s">
        <v>34</v>
      </c>
    </row>
    <row r="12">
      <c r="A12" s="2" t="s">
        <v>36</v>
      </c>
      <c r="B12" s="3"/>
      <c r="C12" s="3"/>
      <c r="D12" s="3"/>
      <c r="E12" s="3"/>
      <c r="F12" s="3"/>
      <c r="G12" s="3"/>
      <c r="H12" s="3"/>
      <c r="I12" s="3"/>
      <c r="J12" s="4"/>
      <c r="M12" s="8"/>
    </row>
    <row r="13">
      <c r="A13" s="9" t="s">
        <v>12</v>
      </c>
      <c r="B13" s="10" t="s">
        <v>37</v>
      </c>
      <c r="C13" s="11" t="s">
        <v>38</v>
      </c>
      <c r="D13" s="11">
        <v>3.0</v>
      </c>
      <c r="E13" s="11" t="s">
        <v>39</v>
      </c>
      <c r="F13" s="13">
        <v>6.48</v>
      </c>
      <c r="G13" s="28">
        <f t="shared" ref="G13:G19" si="2">F13*D13</f>
        <v>19.44</v>
      </c>
      <c r="H13" s="11" t="s">
        <v>16</v>
      </c>
      <c r="I13" s="11" t="s">
        <v>40</v>
      </c>
      <c r="J13" s="15" t="s">
        <v>41</v>
      </c>
      <c r="M13" s="8"/>
    </row>
    <row r="14">
      <c r="A14" s="9" t="s">
        <v>12</v>
      </c>
      <c r="B14" s="11" t="s">
        <v>42</v>
      </c>
      <c r="C14" s="11" t="s">
        <v>43</v>
      </c>
      <c r="D14" s="11">
        <v>10.0</v>
      </c>
      <c r="E14" s="10" t="s">
        <v>25</v>
      </c>
      <c r="F14" s="13">
        <v>19.95</v>
      </c>
      <c r="G14" s="28">
        <f t="shared" si="2"/>
        <v>199.5</v>
      </c>
      <c r="H14" s="11" t="s">
        <v>44</v>
      </c>
      <c r="I14" s="11" t="s">
        <v>22</v>
      </c>
      <c r="J14" s="15" t="s">
        <v>25</v>
      </c>
    </row>
    <row r="15">
      <c r="A15" s="9" t="s">
        <v>12</v>
      </c>
      <c r="B15" s="29" t="s">
        <v>45</v>
      </c>
      <c r="C15" s="10" t="s">
        <v>46</v>
      </c>
      <c r="D15" s="10">
        <v>7.0</v>
      </c>
      <c r="E15" s="10" t="s">
        <v>25</v>
      </c>
      <c r="F15" s="30">
        <v>4.18</v>
      </c>
      <c r="G15" s="28">
        <f t="shared" si="2"/>
        <v>29.26</v>
      </c>
      <c r="H15" s="10" t="s">
        <v>47</v>
      </c>
      <c r="I15" s="10" t="s">
        <v>22</v>
      </c>
      <c r="J15" s="31" t="s">
        <v>25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A16" s="9" t="s">
        <v>12</v>
      </c>
      <c r="B16" s="33" t="s">
        <v>48</v>
      </c>
      <c r="C16" s="11" t="s">
        <v>49</v>
      </c>
      <c r="D16" s="11">
        <v>10.0</v>
      </c>
      <c r="E16" s="10" t="s">
        <v>20</v>
      </c>
      <c r="F16" s="13">
        <v>1.24</v>
      </c>
      <c r="G16" s="28">
        <f t="shared" si="2"/>
        <v>12.4</v>
      </c>
      <c r="H16" s="11" t="s">
        <v>50</v>
      </c>
      <c r="I16" s="11" t="s">
        <v>22</v>
      </c>
      <c r="J16" s="15" t="s">
        <v>20</v>
      </c>
    </row>
    <row r="17">
      <c r="A17" s="9" t="s">
        <v>12</v>
      </c>
      <c r="B17" s="11" t="s">
        <v>51</v>
      </c>
      <c r="C17" s="11" t="s">
        <v>52</v>
      </c>
      <c r="D17" s="11">
        <v>10.0</v>
      </c>
      <c r="E17" s="10" t="s">
        <v>25</v>
      </c>
      <c r="F17" s="18">
        <v>1.98</v>
      </c>
      <c r="G17" s="28">
        <f t="shared" si="2"/>
        <v>19.8</v>
      </c>
      <c r="H17" s="11" t="s">
        <v>53</v>
      </c>
      <c r="I17" s="11" t="s">
        <v>35</v>
      </c>
      <c r="J17" s="15" t="s">
        <v>25</v>
      </c>
    </row>
    <row r="18">
      <c r="A18" s="34" t="s">
        <v>54</v>
      </c>
      <c r="B18" s="11" t="s">
        <v>55</v>
      </c>
      <c r="C18" s="11" t="s">
        <v>56</v>
      </c>
      <c r="D18" s="11">
        <v>20.0</v>
      </c>
      <c r="E18" s="11" t="s">
        <v>25</v>
      </c>
      <c r="F18" s="13">
        <v>1.25</v>
      </c>
      <c r="G18" s="28">
        <f t="shared" si="2"/>
        <v>25</v>
      </c>
      <c r="H18" s="11" t="s">
        <v>21</v>
      </c>
      <c r="I18" s="11" t="s">
        <v>35</v>
      </c>
      <c r="J18" s="15" t="s">
        <v>25</v>
      </c>
    </row>
    <row r="19">
      <c r="A19" s="34" t="s">
        <v>54</v>
      </c>
      <c r="B19" s="11" t="s">
        <v>57</v>
      </c>
      <c r="C19" s="11" t="s">
        <v>58</v>
      </c>
      <c r="D19" s="11">
        <v>10.0</v>
      </c>
      <c r="E19" s="11" t="s">
        <v>25</v>
      </c>
      <c r="F19" s="13">
        <v>1.83</v>
      </c>
      <c r="G19" s="28">
        <f t="shared" si="2"/>
        <v>18.3</v>
      </c>
      <c r="H19" s="11" t="s">
        <v>59</v>
      </c>
      <c r="I19" s="11" t="s">
        <v>35</v>
      </c>
      <c r="J19" s="15" t="s">
        <v>25</v>
      </c>
    </row>
    <row r="20">
      <c r="A20" s="34" t="s">
        <v>54</v>
      </c>
      <c r="B20" s="11">
        <v>1675.0</v>
      </c>
      <c r="C20" s="11" t="s">
        <v>60</v>
      </c>
      <c r="D20" s="11">
        <v>1.0</v>
      </c>
      <c r="E20" s="11" t="s">
        <v>61</v>
      </c>
      <c r="F20" s="13">
        <v>2.95</v>
      </c>
      <c r="G20" s="35">
        <v>2.95</v>
      </c>
      <c r="H20" s="11" t="s">
        <v>62</v>
      </c>
      <c r="I20" s="11" t="s">
        <v>35</v>
      </c>
      <c r="J20" s="15" t="s">
        <v>61</v>
      </c>
    </row>
    <row r="21">
      <c r="A21" s="34" t="s">
        <v>54</v>
      </c>
      <c r="B21" s="11" t="s">
        <v>63</v>
      </c>
      <c r="C21" s="11" t="s">
        <v>64</v>
      </c>
      <c r="D21" s="11">
        <v>10.0</v>
      </c>
      <c r="E21" s="11" t="s">
        <v>25</v>
      </c>
      <c r="F21" s="13">
        <v>0.75</v>
      </c>
      <c r="G21" s="35">
        <f>D21*F21</f>
        <v>7.5</v>
      </c>
      <c r="H21" s="11" t="s">
        <v>65</v>
      </c>
      <c r="I21" s="11" t="s">
        <v>66</v>
      </c>
      <c r="J21" s="15" t="s">
        <v>25</v>
      </c>
    </row>
    <row r="22">
      <c r="A22" s="34" t="s">
        <v>54</v>
      </c>
      <c r="B22" s="11" t="s">
        <v>67</v>
      </c>
      <c r="C22" s="11" t="s">
        <v>68</v>
      </c>
      <c r="D22" s="11">
        <v>20.0</v>
      </c>
      <c r="E22" s="11" t="s">
        <v>25</v>
      </c>
      <c r="F22" s="13">
        <v>1.56</v>
      </c>
      <c r="G22" s="28">
        <f t="shared" ref="G22:G33" si="3">F22*D22</f>
        <v>31.2</v>
      </c>
      <c r="H22" s="11" t="s">
        <v>69</v>
      </c>
      <c r="I22" s="11" t="s">
        <v>35</v>
      </c>
      <c r="J22" s="15" t="s">
        <v>25</v>
      </c>
    </row>
    <row r="23">
      <c r="A23" s="34" t="s">
        <v>54</v>
      </c>
      <c r="B23" s="11" t="s">
        <v>70</v>
      </c>
      <c r="C23" s="11" t="s">
        <v>71</v>
      </c>
      <c r="D23" s="11">
        <v>20.0</v>
      </c>
      <c r="E23" s="11" t="s">
        <v>25</v>
      </c>
      <c r="F23" s="13">
        <v>0.22</v>
      </c>
      <c r="G23" s="28">
        <f t="shared" si="3"/>
        <v>4.4</v>
      </c>
      <c r="H23" s="11" t="s">
        <v>47</v>
      </c>
      <c r="I23" s="11" t="s">
        <v>72</v>
      </c>
      <c r="J23" s="15" t="s">
        <v>25</v>
      </c>
    </row>
    <row r="24">
      <c r="A24" s="34" t="s">
        <v>54</v>
      </c>
      <c r="B24" s="11" t="s">
        <v>73</v>
      </c>
      <c r="C24" s="11" t="s">
        <v>74</v>
      </c>
      <c r="D24" s="11">
        <v>20.0</v>
      </c>
      <c r="E24" s="11" t="s">
        <v>25</v>
      </c>
      <c r="F24" s="13">
        <v>0.022</v>
      </c>
      <c r="G24" s="28">
        <f t="shared" si="3"/>
        <v>0.44</v>
      </c>
      <c r="H24" s="11" t="s">
        <v>75</v>
      </c>
      <c r="I24" s="11" t="s">
        <v>66</v>
      </c>
      <c r="J24" s="15" t="s">
        <v>25</v>
      </c>
    </row>
    <row r="25">
      <c r="A25" s="34" t="s">
        <v>54</v>
      </c>
      <c r="B25" s="11" t="s">
        <v>76</v>
      </c>
      <c r="C25" s="11" t="s">
        <v>77</v>
      </c>
      <c r="D25" s="11">
        <v>90.0</v>
      </c>
      <c r="E25" s="11" t="s">
        <v>25</v>
      </c>
      <c r="F25" s="13">
        <v>0.006</v>
      </c>
      <c r="G25" s="28">
        <f t="shared" si="3"/>
        <v>0.54</v>
      </c>
      <c r="H25" s="11" t="s">
        <v>75</v>
      </c>
      <c r="I25" s="11" t="s">
        <v>66</v>
      </c>
      <c r="J25" s="15" t="s">
        <v>25</v>
      </c>
    </row>
    <row r="26">
      <c r="A26" s="34" t="s">
        <v>54</v>
      </c>
      <c r="B26" s="11" t="s">
        <v>78</v>
      </c>
      <c r="C26" s="11" t="s">
        <v>79</v>
      </c>
      <c r="D26" s="11">
        <v>20.0</v>
      </c>
      <c r="E26" s="11" t="s">
        <v>25</v>
      </c>
      <c r="F26" s="13">
        <v>0.238</v>
      </c>
      <c r="G26" s="28">
        <f t="shared" si="3"/>
        <v>4.76</v>
      </c>
      <c r="H26" s="11" t="s">
        <v>80</v>
      </c>
      <c r="I26" s="11" t="s">
        <v>66</v>
      </c>
      <c r="J26" s="15" t="s">
        <v>25</v>
      </c>
    </row>
    <row r="27">
      <c r="A27" s="34" t="s">
        <v>54</v>
      </c>
      <c r="B27" s="11" t="s">
        <v>81</v>
      </c>
      <c r="C27" s="11" t="s">
        <v>82</v>
      </c>
      <c r="D27" s="11">
        <v>40.0</v>
      </c>
      <c r="E27" s="11" t="s">
        <v>25</v>
      </c>
      <c r="F27" s="13">
        <v>0.01</v>
      </c>
      <c r="G27" s="28">
        <f t="shared" si="3"/>
        <v>0.4</v>
      </c>
      <c r="H27" s="11" t="s">
        <v>83</v>
      </c>
      <c r="I27" s="11" t="s">
        <v>66</v>
      </c>
      <c r="J27" s="15" t="s">
        <v>25</v>
      </c>
    </row>
    <row r="28">
      <c r="A28" s="34" t="s">
        <v>54</v>
      </c>
      <c r="B28" s="11" t="s">
        <v>84</v>
      </c>
      <c r="C28" s="11" t="s">
        <v>85</v>
      </c>
      <c r="D28" s="11">
        <v>20.0</v>
      </c>
      <c r="E28" s="11" t="s">
        <v>25</v>
      </c>
      <c r="F28" s="13">
        <v>0.29</v>
      </c>
      <c r="G28" s="28">
        <f t="shared" si="3"/>
        <v>5.8</v>
      </c>
      <c r="H28" s="11" t="s">
        <v>47</v>
      </c>
      <c r="I28" s="11" t="s">
        <v>66</v>
      </c>
      <c r="J28" s="15" t="s">
        <v>25</v>
      </c>
    </row>
    <row r="29">
      <c r="A29" s="34" t="s">
        <v>54</v>
      </c>
      <c r="B29" s="11" t="s">
        <v>86</v>
      </c>
      <c r="C29" s="11" t="s">
        <v>87</v>
      </c>
      <c r="D29" s="11">
        <v>20.0</v>
      </c>
      <c r="E29" s="11" t="s">
        <v>25</v>
      </c>
      <c r="F29" s="13">
        <v>2.656</v>
      </c>
      <c r="G29" s="28">
        <f t="shared" si="3"/>
        <v>53.12</v>
      </c>
      <c r="H29" s="11" t="s">
        <v>69</v>
      </c>
      <c r="I29" s="11" t="s">
        <v>35</v>
      </c>
      <c r="J29" s="15" t="s">
        <v>25</v>
      </c>
    </row>
    <row r="30">
      <c r="A30" s="34" t="s">
        <v>54</v>
      </c>
      <c r="B30" s="11" t="s">
        <v>88</v>
      </c>
      <c r="C30" s="11" t="s">
        <v>89</v>
      </c>
      <c r="D30" s="11">
        <v>10.0</v>
      </c>
      <c r="E30" s="11" t="s">
        <v>25</v>
      </c>
      <c r="F30" s="13">
        <v>3.364</v>
      </c>
      <c r="G30" s="28">
        <f t="shared" si="3"/>
        <v>33.64</v>
      </c>
      <c r="H30" s="11" t="s">
        <v>90</v>
      </c>
      <c r="I30" s="11" t="s">
        <v>66</v>
      </c>
      <c r="J30" s="15" t="s">
        <v>25</v>
      </c>
    </row>
    <row r="31" ht="18.0" customHeight="1">
      <c r="A31" s="34" t="s">
        <v>54</v>
      </c>
      <c r="B31" s="33" t="s">
        <v>91</v>
      </c>
      <c r="C31" s="11" t="s">
        <v>92</v>
      </c>
      <c r="D31" s="11">
        <v>10.0</v>
      </c>
      <c r="E31" s="11" t="s">
        <v>25</v>
      </c>
      <c r="F31" s="13">
        <v>0.773</v>
      </c>
      <c r="G31" s="28">
        <f t="shared" si="3"/>
        <v>7.73</v>
      </c>
      <c r="H31" s="11" t="s">
        <v>53</v>
      </c>
      <c r="I31" s="11" t="s">
        <v>66</v>
      </c>
      <c r="J31" s="15" t="s">
        <v>25</v>
      </c>
    </row>
    <row r="32">
      <c r="A32" s="34" t="s">
        <v>54</v>
      </c>
      <c r="B32" s="11" t="s">
        <v>93</v>
      </c>
      <c r="C32" s="11" t="s">
        <v>94</v>
      </c>
      <c r="D32" s="11">
        <v>50.0</v>
      </c>
      <c r="E32" s="11" t="s">
        <v>25</v>
      </c>
      <c r="F32" s="13">
        <v>0.241</v>
      </c>
      <c r="G32" s="28">
        <f t="shared" si="3"/>
        <v>12.05</v>
      </c>
      <c r="H32" s="11" t="s">
        <v>83</v>
      </c>
      <c r="I32" s="11" t="s">
        <v>66</v>
      </c>
      <c r="J32" s="15" t="s">
        <v>25</v>
      </c>
    </row>
    <row r="33">
      <c r="A33" s="34" t="s">
        <v>54</v>
      </c>
      <c r="B33" s="11" t="s">
        <v>95</v>
      </c>
      <c r="C33" s="11" t="s">
        <v>96</v>
      </c>
      <c r="D33" s="11">
        <v>10.0</v>
      </c>
      <c r="E33" s="11" t="s">
        <v>25</v>
      </c>
      <c r="F33" s="13">
        <v>0.608</v>
      </c>
      <c r="G33" s="28">
        <f t="shared" si="3"/>
        <v>6.08</v>
      </c>
      <c r="H33" s="11" t="s">
        <v>97</v>
      </c>
      <c r="I33" s="11" t="s">
        <v>66</v>
      </c>
      <c r="J33" s="15" t="s">
        <v>25</v>
      </c>
    </row>
    <row r="34">
      <c r="A34" s="34" t="s">
        <v>54</v>
      </c>
      <c r="B34" s="11" t="s">
        <v>98</v>
      </c>
      <c r="C34" s="11" t="s">
        <v>99</v>
      </c>
      <c r="D34" s="11">
        <v>10.0</v>
      </c>
      <c r="E34" s="11" t="s">
        <v>25</v>
      </c>
      <c r="F34" s="13">
        <v>0.136</v>
      </c>
      <c r="G34" s="35">
        <v>1.36</v>
      </c>
      <c r="H34" s="11" t="s">
        <v>100</v>
      </c>
      <c r="I34" s="11" t="s">
        <v>66</v>
      </c>
      <c r="J34" s="15" t="s">
        <v>25</v>
      </c>
    </row>
    <row r="35">
      <c r="A35" s="34" t="s">
        <v>54</v>
      </c>
      <c r="B35" s="11" t="s">
        <v>101</v>
      </c>
      <c r="C35" s="11" t="s">
        <v>102</v>
      </c>
      <c r="D35" s="11">
        <v>100.0</v>
      </c>
      <c r="E35" s="11" t="s">
        <v>25</v>
      </c>
      <c r="F35" s="13">
        <v>0.005</v>
      </c>
      <c r="G35" s="28">
        <f t="shared" ref="G35:G41" si="4">F35*D35</f>
        <v>0.5</v>
      </c>
      <c r="H35" s="11" t="s">
        <v>75</v>
      </c>
      <c r="I35" s="11" t="s">
        <v>66</v>
      </c>
      <c r="J35" s="15" t="s">
        <v>25</v>
      </c>
    </row>
    <row r="36">
      <c r="A36" s="34" t="s">
        <v>54</v>
      </c>
      <c r="B36" s="11" t="s">
        <v>103</v>
      </c>
      <c r="C36" s="11" t="s">
        <v>104</v>
      </c>
      <c r="D36" s="11">
        <v>10.0</v>
      </c>
      <c r="E36" s="11" t="s">
        <v>25</v>
      </c>
      <c r="F36" s="13">
        <v>0.009</v>
      </c>
      <c r="G36" s="28">
        <f t="shared" si="4"/>
        <v>0.09</v>
      </c>
      <c r="H36" s="11" t="s">
        <v>105</v>
      </c>
      <c r="I36" s="11" t="s">
        <v>66</v>
      </c>
      <c r="J36" s="15" t="s">
        <v>25</v>
      </c>
    </row>
    <row r="37">
      <c r="A37" s="34" t="s">
        <v>54</v>
      </c>
      <c r="B37" s="11" t="s">
        <v>106</v>
      </c>
      <c r="C37" s="11" t="s">
        <v>107</v>
      </c>
      <c r="D37" s="11">
        <v>30.0</v>
      </c>
      <c r="E37" s="11" t="s">
        <v>25</v>
      </c>
      <c r="F37" s="13">
        <v>0.006</v>
      </c>
      <c r="G37" s="28">
        <f t="shared" si="4"/>
        <v>0.18</v>
      </c>
      <c r="H37" s="11" t="s">
        <v>108</v>
      </c>
      <c r="I37" s="11" t="s">
        <v>66</v>
      </c>
      <c r="J37" s="15" t="s">
        <v>25</v>
      </c>
    </row>
    <row r="38">
      <c r="A38" s="34" t="s">
        <v>54</v>
      </c>
      <c r="B38" s="11" t="s">
        <v>109</v>
      </c>
      <c r="C38" s="11" t="s">
        <v>110</v>
      </c>
      <c r="D38" s="11">
        <v>10.0</v>
      </c>
      <c r="E38" s="11" t="s">
        <v>25</v>
      </c>
      <c r="F38" s="13">
        <v>0.126</v>
      </c>
      <c r="G38" s="28">
        <f t="shared" si="4"/>
        <v>1.26</v>
      </c>
      <c r="H38" s="11" t="s">
        <v>59</v>
      </c>
      <c r="I38" s="11" t="s">
        <v>66</v>
      </c>
      <c r="J38" s="15" t="s">
        <v>25</v>
      </c>
    </row>
    <row r="39">
      <c r="A39" s="34" t="s">
        <v>54</v>
      </c>
      <c r="B39" s="11" t="s">
        <v>111</v>
      </c>
      <c r="C39" s="11" t="s">
        <v>112</v>
      </c>
      <c r="D39" s="11">
        <v>10.0</v>
      </c>
      <c r="E39" s="11" t="s">
        <v>25</v>
      </c>
      <c r="F39" s="13">
        <v>1.256</v>
      </c>
      <c r="G39" s="28">
        <f t="shared" si="4"/>
        <v>12.56</v>
      </c>
      <c r="H39" s="11" t="s">
        <v>113</v>
      </c>
      <c r="I39" s="11" t="s">
        <v>35</v>
      </c>
      <c r="J39" s="15" t="s">
        <v>25</v>
      </c>
    </row>
    <row r="40">
      <c r="A40" s="36"/>
      <c r="B40" s="11" t="s">
        <v>114</v>
      </c>
      <c r="C40" s="11" t="s">
        <v>115</v>
      </c>
      <c r="D40" s="11">
        <v>40.0</v>
      </c>
      <c r="E40" s="11" t="s">
        <v>25</v>
      </c>
      <c r="F40" s="13">
        <v>0.006</v>
      </c>
      <c r="G40" s="28">
        <f t="shared" si="4"/>
        <v>0.24</v>
      </c>
      <c r="H40" s="11" t="s">
        <v>83</v>
      </c>
      <c r="I40" s="37" t="s">
        <v>116</v>
      </c>
      <c r="J40" s="15" t="s">
        <v>25</v>
      </c>
    </row>
    <row r="41">
      <c r="A41" s="34" t="s">
        <v>54</v>
      </c>
      <c r="B41" s="11" t="s">
        <v>117</v>
      </c>
      <c r="C41" s="11" t="s">
        <v>118</v>
      </c>
      <c r="D41" s="11">
        <v>10.0</v>
      </c>
      <c r="E41" s="11" t="s">
        <v>20</v>
      </c>
      <c r="F41" s="13">
        <v>4.68</v>
      </c>
      <c r="G41" s="28">
        <f t="shared" si="4"/>
        <v>46.8</v>
      </c>
      <c r="H41" s="11" t="s">
        <v>119</v>
      </c>
      <c r="I41" s="11" t="s">
        <v>35</v>
      </c>
      <c r="J41" s="15" t="s">
        <v>20</v>
      </c>
    </row>
    <row r="42">
      <c r="A42" s="36"/>
      <c r="B42" s="38"/>
      <c r="C42" s="11" t="s">
        <v>120</v>
      </c>
      <c r="D42" s="11">
        <v>5.0</v>
      </c>
      <c r="E42" s="11" t="s">
        <v>121</v>
      </c>
      <c r="F42" s="11" t="s">
        <v>90</v>
      </c>
      <c r="G42" s="35">
        <v>133.86</v>
      </c>
      <c r="H42" s="11" t="s">
        <v>90</v>
      </c>
      <c r="I42" s="11" t="s">
        <v>90</v>
      </c>
      <c r="J42" s="15" t="s">
        <v>121</v>
      </c>
    </row>
    <row r="43">
      <c r="A43" s="34" t="s">
        <v>54</v>
      </c>
      <c r="B43" s="11" t="s">
        <v>122</v>
      </c>
      <c r="C43" s="11" t="s">
        <v>112</v>
      </c>
      <c r="D43" s="11">
        <v>10.0</v>
      </c>
      <c r="E43" s="11" t="s">
        <v>25</v>
      </c>
      <c r="F43" s="13">
        <v>1.256</v>
      </c>
      <c r="G43" s="35">
        <f t="shared" ref="G43:G44" si="5">D43*F43</f>
        <v>12.56</v>
      </c>
      <c r="H43" s="11" t="s">
        <v>113</v>
      </c>
      <c r="I43" s="11" t="s">
        <v>35</v>
      </c>
      <c r="J43" s="15" t="s">
        <v>25</v>
      </c>
    </row>
    <row r="44">
      <c r="A44" s="39"/>
      <c r="B44" s="11" t="s">
        <v>123</v>
      </c>
      <c r="C44" s="11" t="s">
        <v>124</v>
      </c>
      <c r="D44" s="11">
        <v>10.0</v>
      </c>
      <c r="E44" s="11" t="s">
        <v>25</v>
      </c>
      <c r="F44" s="13">
        <v>6.573</v>
      </c>
      <c r="G44" s="35">
        <f t="shared" si="5"/>
        <v>65.73</v>
      </c>
      <c r="H44" s="11" t="s">
        <v>97</v>
      </c>
      <c r="I44" s="40" t="s">
        <v>125</v>
      </c>
      <c r="J44" s="15" t="s">
        <v>25</v>
      </c>
    </row>
    <row r="45">
      <c r="A45" s="34" t="s">
        <v>54</v>
      </c>
      <c r="B45" s="11" t="s">
        <v>126</v>
      </c>
      <c r="C45" s="11" t="s">
        <v>127</v>
      </c>
      <c r="D45" s="11">
        <v>20.0</v>
      </c>
      <c r="E45" s="11" t="s">
        <v>25</v>
      </c>
      <c r="F45" s="13">
        <v>1.11</v>
      </c>
      <c r="G45" s="35">
        <f t="shared" ref="G45:G50" si="6">F45*D45</f>
        <v>22.2</v>
      </c>
      <c r="H45" s="11" t="s">
        <v>97</v>
      </c>
      <c r="I45" s="11" t="s">
        <v>35</v>
      </c>
      <c r="J45" s="15" t="s">
        <v>25</v>
      </c>
    </row>
    <row r="46">
      <c r="A46" s="34" t="s">
        <v>54</v>
      </c>
      <c r="B46" s="11" t="s">
        <v>128</v>
      </c>
      <c r="C46" s="11" t="s">
        <v>129</v>
      </c>
      <c r="D46" s="11">
        <v>20.0</v>
      </c>
      <c r="E46" s="11" t="s">
        <v>25</v>
      </c>
      <c r="F46" s="13">
        <v>0.715</v>
      </c>
      <c r="G46" s="35">
        <f t="shared" si="6"/>
        <v>14.3</v>
      </c>
      <c r="H46" s="11" t="s">
        <v>97</v>
      </c>
      <c r="I46" s="11" t="s">
        <v>66</v>
      </c>
      <c r="J46" s="15" t="s">
        <v>25</v>
      </c>
    </row>
    <row r="47">
      <c r="A47" s="34" t="s">
        <v>54</v>
      </c>
      <c r="B47" s="11" t="s">
        <v>130</v>
      </c>
      <c r="C47" s="11" t="s">
        <v>131</v>
      </c>
      <c r="D47" s="11">
        <v>20.0</v>
      </c>
      <c r="E47" s="11" t="s">
        <v>25</v>
      </c>
      <c r="F47" s="13">
        <v>0.907</v>
      </c>
      <c r="G47" s="35">
        <f t="shared" si="6"/>
        <v>18.14</v>
      </c>
      <c r="H47" s="11" t="s">
        <v>97</v>
      </c>
      <c r="I47" s="11" t="s">
        <v>66</v>
      </c>
      <c r="J47" s="15" t="s">
        <v>25</v>
      </c>
    </row>
    <row r="48">
      <c r="A48" s="34" t="s">
        <v>54</v>
      </c>
      <c r="B48" s="11" t="s">
        <v>132</v>
      </c>
      <c r="C48" s="11" t="s">
        <v>133</v>
      </c>
      <c r="D48" s="11">
        <v>40.0</v>
      </c>
      <c r="E48" s="11" t="s">
        <v>25</v>
      </c>
      <c r="F48" s="13">
        <v>1.548</v>
      </c>
      <c r="G48" s="35">
        <f t="shared" si="6"/>
        <v>61.92</v>
      </c>
      <c r="H48" s="11" t="s">
        <v>97</v>
      </c>
      <c r="I48" s="11" t="s">
        <v>35</v>
      </c>
      <c r="J48" s="15" t="s">
        <v>25</v>
      </c>
    </row>
    <row r="49">
      <c r="A49" s="34" t="s">
        <v>54</v>
      </c>
      <c r="B49" s="11" t="s">
        <v>134</v>
      </c>
      <c r="C49" s="11" t="s">
        <v>135</v>
      </c>
      <c r="D49" s="11">
        <v>20.0</v>
      </c>
      <c r="E49" s="11" t="s">
        <v>25</v>
      </c>
      <c r="F49" s="13">
        <v>0.03</v>
      </c>
      <c r="G49" s="35">
        <f t="shared" si="6"/>
        <v>0.6</v>
      </c>
      <c r="H49" s="11" t="s">
        <v>97</v>
      </c>
      <c r="I49" s="11" t="s">
        <v>66</v>
      </c>
      <c r="J49" s="15" t="s">
        <v>25</v>
      </c>
    </row>
    <row r="50">
      <c r="A50" s="34" t="s">
        <v>54</v>
      </c>
      <c r="B50" s="20" t="s">
        <v>136</v>
      </c>
      <c r="C50" s="21" t="s">
        <v>137</v>
      </c>
      <c r="D50" s="41">
        <v>10.0</v>
      </c>
      <c r="E50" s="20" t="s">
        <v>25</v>
      </c>
      <c r="F50" s="24">
        <v>2.266</v>
      </c>
      <c r="G50" s="28">
        <f t="shared" si="6"/>
        <v>22.66</v>
      </c>
      <c r="H50" s="11" t="s">
        <v>138</v>
      </c>
      <c r="I50" s="21" t="s">
        <v>66</v>
      </c>
      <c r="J50" s="26" t="s">
        <v>25</v>
      </c>
    </row>
    <row r="51">
      <c r="A51" s="42"/>
      <c r="B51" s="42"/>
      <c r="C51" s="43" t="s">
        <v>139</v>
      </c>
      <c r="D51" s="42"/>
      <c r="E51" s="42"/>
      <c r="F51" s="42"/>
      <c r="G51" s="44">
        <v>130.0</v>
      </c>
      <c r="H51" s="42"/>
      <c r="I51" s="42"/>
      <c r="J51" s="42"/>
    </row>
    <row r="52">
      <c r="A52" s="2" t="s">
        <v>140</v>
      </c>
      <c r="B52" s="3"/>
      <c r="C52" s="3"/>
      <c r="D52" s="3"/>
      <c r="E52" s="3"/>
      <c r="F52" s="3"/>
      <c r="G52" s="3"/>
      <c r="H52" s="3"/>
      <c r="I52" s="3"/>
      <c r="J52" s="4"/>
    </row>
    <row r="53">
      <c r="A53" s="9" t="s">
        <v>12</v>
      </c>
      <c r="B53" s="45" t="s">
        <v>141</v>
      </c>
      <c r="C53" s="11" t="s">
        <v>142</v>
      </c>
      <c r="D53" s="11">
        <v>2.0</v>
      </c>
      <c r="E53" s="10" t="s">
        <v>34</v>
      </c>
      <c r="F53" s="13">
        <v>21.99</v>
      </c>
      <c r="G53" s="46">
        <f>D53*F53</f>
        <v>43.98</v>
      </c>
      <c r="H53" s="11" t="s">
        <v>16</v>
      </c>
      <c r="I53" s="11" t="s">
        <v>35</v>
      </c>
      <c r="J53" s="15" t="s">
        <v>34</v>
      </c>
    </row>
    <row r="54">
      <c r="A54" s="9" t="s">
        <v>12</v>
      </c>
      <c r="B54" s="45" t="s">
        <v>143</v>
      </c>
      <c r="C54" s="11" t="s">
        <v>144</v>
      </c>
      <c r="D54" s="11">
        <v>1.0</v>
      </c>
      <c r="E54" s="10" t="s">
        <v>34</v>
      </c>
      <c r="F54" s="13">
        <v>7.99</v>
      </c>
      <c r="G54" s="47">
        <v>7.99</v>
      </c>
      <c r="H54" s="11" t="s">
        <v>16</v>
      </c>
      <c r="I54" s="11" t="s">
        <v>35</v>
      </c>
      <c r="J54" s="15" t="s">
        <v>34</v>
      </c>
    </row>
    <row r="55">
      <c r="A55" s="36"/>
      <c r="B55" s="48" t="s">
        <v>145</v>
      </c>
      <c r="C55" s="11" t="s">
        <v>146</v>
      </c>
      <c r="D55" s="11">
        <v>1.0</v>
      </c>
      <c r="E55" s="10" t="s">
        <v>34</v>
      </c>
      <c r="F55" s="13">
        <v>49.0</v>
      </c>
      <c r="G55" s="47">
        <v>49.0</v>
      </c>
      <c r="H55" s="11" t="s">
        <v>16</v>
      </c>
      <c r="I55" s="11" t="s">
        <v>35</v>
      </c>
      <c r="J55" s="15" t="s">
        <v>34</v>
      </c>
    </row>
    <row r="56">
      <c r="B56" s="49"/>
      <c r="C56" s="49"/>
      <c r="D56" s="49"/>
      <c r="E56" s="49"/>
      <c r="F56" s="50" t="s">
        <v>147</v>
      </c>
      <c r="G56" s="51">
        <f>SUM(G53:G55)</f>
        <v>100.97</v>
      </c>
      <c r="H56" s="49"/>
      <c r="I56" s="49"/>
    </row>
    <row r="57">
      <c r="B57" s="49"/>
      <c r="C57" s="49"/>
      <c r="D57" s="49"/>
      <c r="E57" s="49"/>
      <c r="F57" s="52" t="s">
        <v>148</v>
      </c>
      <c r="G57" s="51">
        <f>SUM(G13:G50)</f>
        <v>909.27</v>
      </c>
      <c r="H57" s="49"/>
      <c r="I57" s="49"/>
    </row>
    <row r="58">
      <c r="B58" s="49"/>
      <c r="C58" s="49"/>
      <c r="D58" s="49"/>
      <c r="E58" s="49"/>
      <c r="F58" s="52" t="s">
        <v>149</v>
      </c>
      <c r="G58" s="51">
        <f>SUM(G6:G11)</f>
        <v>727.48</v>
      </c>
      <c r="H58" s="49"/>
      <c r="I58" s="49"/>
    </row>
    <row r="59">
      <c r="B59" s="49"/>
      <c r="C59" s="49"/>
      <c r="D59" s="49"/>
      <c r="E59" s="49"/>
      <c r="F59" s="52" t="s">
        <v>150</v>
      </c>
      <c r="G59" s="51">
        <f>G62-G60</f>
        <v>1382.28</v>
      </c>
      <c r="H59" s="49"/>
      <c r="I59" s="49"/>
    </row>
    <row r="60">
      <c r="B60" s="49"/>
      <c r="C60" s="49"/>
      <c r="D60" s="49"/>
      <c r="E60" s="49"/>
      <c r="F60" s="53" t="s">
        <v>151</v>
      </c>
      <c r="G60" s="54">
        <f>SUM(G6:G55)</f>
        <v>1867.72</v>
      </c>
      <c r="H60" s="49"/>
      <c r="I60" s="49"/>
    </row>
    <row r="61">
      <c r="B61" s="49"/>
      <c r="C61" s="49"/>
      <c r="D61" s="49"/>
      <c r="E61" s="49"/>
      <c r="F61" s="52" t="s">
        <v>152</v>
      </c>
      <c r="G61" s="51">
        <f>sum(F14,F18*2,F19,F21,F15,F22*2,F23*2,F24*2,F25*9,F26*2,F27*4,F28*2,F29*2,F30,F16,F31,F32*5,F33,F35*10,F36,F37*3,F38,F39,F40*4,F41,F43,F44,F45*2,F46*2,F47*2,F48*4,F49*2,F50)</f>
        <v>74.44</v>
      </c>
      <c r="H61" s="49"/>
      <c r="I61" s="49"/>
    </row>
    <row r="62">
      <c r="B62" s="49"/>
      <c r="C62" s="49"/>
      <c r="D62" s="49"/>
      <c r="E62" s="49"/>
      <c r="F62" s="50" t="s">
        <v>153</v>
      </c>
      <c r="G62" s="55">
        <v>3250.0</v>
      </c>
      <c r="H62" s="49"/>
      <c r="I62" s="49"/>
    </row>
    <row r="63">
      <c r="B63" s="49"/>
      <c r="C63" s="49"/>
      <c r="D63" s="49"/>
      <c r="E63" s="49"/>
      <c r="F63" s="49"/>
      <c r="G63" s="49"/>
      <c r="H63" s="49"/>
      <c r="I63" s="49"/>
    </row>
    <row r="64">
      <c r="B64" s="49"/>
      <c r="C64" s="49"/>
      <c r="D64" s="49"/>
      <c r="E64" s="49"/>
      <c r="F64" s="49"/>
      <c r="G64" s="49"/>
      <c r="H64" s="49"/>
      <c r="I64" s="49"/>
    </row>
    <row r="65">
      <c r="B65" s="49"/>
      <c r="C65" s="49"/>
      <c r="D65" s="49"/>
      <c r="E65" s="49"/>
      <c r="F65" s="49"/>
      <c r="G65" s="49"/>
      <c r="H65" s="49"/>
      <c r="I65" s="49"/>
    </row>
    <row r="66">
      <c r="B66" s="49"/>
      <c r="C66" s="49"/>
      <c r="D66" s="49"/>
      <c r="E66" s="49"/>
      <c r="F66" s="49"/>
      <c r="G66" s="49"/>
      <c r="H66" s="49"/>
      <c r="I66" s="49"/>
    </row>
  </sheetData>
  <mergeCells count="4">
    <mergeCell ref="A3:J3"/>
    <mergeCell ref="A5:J5"/>
    <mergeCell ref="A12:J12"/>
    <mergeCell ref="A52:J52"/>
  </mergeCells>
  <hyperlinks>
    <hyperlink r:id="rId1" ref="J6"/>
    <hyperlink r:id="rId2" ref="J7"/>
    <hyperlink r:id="rId3" ref="J8"/>
    <hyperlink r:id="rId4" ref="J9"/>
    <hyperlink r:id="rId5" ref="J10"/>
    <hyperlink r:id="rId6" ref="J11"/>
    <hyperlink r:id="rId7" location="see-more-details" ref="J13"/>
    <hyperlink r:id="rId8" ref="J14"/>
    <hyperlink r:id="rId9" ref="J15"/>
    <hyperlink r:id="rId10" ref="J16"/>
    <hyperlink r:id="rId11" ref="J17"/>
    <hyperlink r:id="rId12" ref="J18"/>
    <hyperlink r:id="rId13" ref="J19"/>
    <hyperlink r:id="rId14" ref="J20"/>
    <hyperlink r:id="rId15" ref="J21"/>
    <hyperlink r:id="rId16" ref="J22"/>
    <hyperlink r:id="rId17" ref="J23"/>
    <hyperlink r:id="rId18" ref="J24"/>
    <hyperlink r:id="rId19" ref="J25"/>
    <hyperlink r:id="rId20" ref="J26"/>
    <hyperlink r:id="rId21" ref="J27"/>
    <hyperlink r:id="rId22" ref="J28"/>
    <hyperlink r:id="rId23" ref="J29"/>
    <hyperlink r:id="rId24" ref="J30"/>
    <hyperlink r:id="rId25" ref="J31"/>
    <hyperlink r:id="rId26" ref="J32"/>
    <hyperlink r:id="rId27" ref="J33"/>
    <hyperlink r:id="rId28" ref="J34"/>
    <hyperlink r:id="rId29" ref="J35"/>
    <hyperlink r:id="rId30" ref="J36"/>
    <hyperlink r:id="rId31" ref="J37"/>
    <hyperlink r:id="rId32" ref="J38"/>
    <hyperlink r:id="rId33" ref="J39"/>
    <hyperlink r:id="rId34" ref="J40"/>
    <hyperlink r:id="rId35" ref="J41"/>
    <hyperlink r:id="rId36" ref="J42"/>
    <hyperlink r:id="rId37" ref="J43"/>
    <hyperlink r:id="rId38" ref="J44"/>
    <hyperlink r:id="rId39" ref="J45"/>
    <hyperlink r:id="rId40" ref="J46"/>
    <hyperlink r:id="rId41" ref="J47"/>
    <hyperlink r:id="rId42" ref="J48"/>
    <hyperlink r:id="rId43" ref="J49"/>
    <hyperlink r:id="rId44" ref="J50"/>
    <hyperlink r:id="rId45" ref="J53"/>
    <hyperlink r:id="rId46" ref="J54"/>
    <hyperlink r:id="rId47" ref="J5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8"/>
</worksheet>
</file>