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<sst xmlns="http://schemas.openxmlformats.org/spreadsheetml/2006/main" count="74" uniqueCount="56">
  <si>
    <t>Category</t>
  </si>
  <si>
    <t>Item</t>
  </si>
  <si>
    <t>Quantity</t>
  </si>
  <si>
    <t>Unit Price</t>
  </si>
  <si>
    <t>Subtotal</t>
  </si>
  <si>
    <t>Notes</t>
  </si>
  <si>
    <t>Mechanical</t>
  </si>
  <si>
    <t>Plastic Case</t>
  </si>
  <si>
    <t>Enclosures for remote devices</t>
  </si>
  <si>
    <t>PLA Filament</t>
  </si>
  <si>
    <t>For 3D printing custom parts</t>
  </si>
  <si>
    <t>M3 Bolts</t>
  </si>
  <si>
    <t>Fasteners for enclosures</t>
  </si>
  <si>
    <t>Mechanical Subtotal</t>
  </si>
  <si>
    <t>Electrical</t>
  </si>
  <si>
    <t>Doorbell</t>
  </si>
  <si>
    <t>For remote sensing use case</t>
  </si>
  <si>
    <t>Ultrasonic Sensor</t>
  </si>
  <si>
    <t>Distance/proximity sensors</t>
  </si>
  <si>
    <t>LED Strip</t>
  </si>
  <si>
    <t>For lighting control demo</t>
  </si>
  <si>
    <t>Microphone</t>
  </si>
  <si>
    <t>For remote microphone use case</t>
  </si>
  <si>
    <t>Speaker</t>
  </si>
  <si>
    <t>Audio output peripherals</t>
  </si>
  <si>
    <t>DAC</t>
  </si>
  <si>
    <t>Digital-to-analog converters</t>
  </si>
  <si>
    <t>Audio Amplifier</t>
  </si>
  <si>
    <t>For speaker amplification</t>
  </si>
  <si>
    <t>J-Link</t>
  </si>
  <si>
    <t>Debugging tool for QPG6200L )</t>
  </si>
  <si>
    <t>J-Link Adapter</t>
  </si>
  <si>
    <t>Adapter for J-Link</t>
  </si>
  <si>
    <t>Batteries</t>
  </si>
  <si>
    <t xml:space="preserve">Coin cell for remote devices </t>
  </si>
  <si>
    <t>Battery Holder</t>
  </si>
  <si>
    <t>Holders for batteries</t>
  </si>
  <si>
    <t>Door Lock</t>
  </si>
  <si>
    <t xml:space="preserve">For smart lock demo </t>
  </si>
  <si>
    <t>PCB</t>
  </si>
  <si>
    <t>Custom PCB for 6 assemblies</t>
  </si>
  <si>
    <t>Antenna</t>
  </si>
  <si>
    <t>For RF connectivity</t>
  </si>
  <si>
    <t>QPG6200L</t>
  </si>
  <si>
    <t>Electrical Subtotal</t>
  </si>
  <si>
    <t xml:space="preserve">Computer </t>
  </si>
  <si>
    <t>EW840E5N Gateway</t>
  </si>
  <si>
    <t>Multi-protocol (BLE/Thread/Zigbee) to WiFi/Ethernet</t>
  </si>
  <si>
    <t>Computer</t>
  </si>
  <si>
    <t>PK-LEW840X Programmer</t>
  </si>
  <si>
    <t>Required for gateway programming</t>
  </si>
  <si>
    <t>Lenovo Tab M10 Plus 3rd Gen</t>
  </si>
  <si>
    <t>Display the user sees</t>
  </si>
  <si>
    <t>Computer Subtotal</t>
  </si>
  <si>
    <t>Grand Total (With 20% Safety Factor)</t>
  </si>
  <si>
    <t>Covers all hardware for IoT demos, enclosures, and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</si>
</sst>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4" xfId="0" applyAlignment="1" applyBorder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4" xfId="0" applyAlignment="1" applyBorder="1" applyFont="1" applyNumberFormat="1">
      <alignment horizontal="left" shrinkToFit="0" vertical="bottom" wrapText="0"/>
    </xf>
    <xf borderId="1" fillId="0" fontId="3" numFmtId="4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1" numFmtId="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1.25"/>
    <col customWidth="1" min="4" max="4" width="7.38"/>
    <col customWidth="1" min="5" max="5" width="8.0"/>
    <col customWidth="1" min="6" max="6" width="7.13"/>
    <col customWidth="1" min="7" max="7" width="40.88"/>
    <col customWidth="1" min="8" max="8" width="40.63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>
      <c r="B6" s="2" t="s">
        <v>6</v>
      </c>
      <c r="C6" s="2" t="s">
        <v>7</v>
      </c>
      <c r="D6" s="2">
        <v>1.0</v>
      </c>
      <c r="E6" s="3">
        <v>49.0</v>
      </c>
      <c r="F6" s="3">
        <f t="shared" ref="F6:F7" si="1">D6*E6</f>
        <v>49</v>
      </c>
      <c r="G6" s="2" t="s">
        <v>8</v>
      </c>
    </row>
    <row r="7">
      <c r="B7" s="2" t="s">
        <v>6</v>
      </c>
      <c r="C7" s="2" t="s">
        <v>9</v>
      </c>
      <c r="D7" s="2">
        <v>3.0</v>
      </c>
      <c r="E7" s="3">
        <v>21.99</v>
      </c>
      <c r="F7" s="3">
        <f t="shared" si="1"/>
        <v>65.97</v>
      </c>
      <c r="G7" s="2" t="s">
        <v>10</v>
      </c>
    </row>
    <row r="8">
      <c r="B8" s="2" t="s">
        <v>6</v>
      </c>
      <c r="C8" s="2" t="s">
        <v>11</v>
      </c>
      <c r="D8" s="2">
        <v>1.0</v>
      </c>
      <c r="E8" s="3">
        <v>7.99</v>
      </c>
      <c r="F8" s="3">
        <v>7.99</v>
      </c>
      <c r="G8" s="2" t="s">
        <v>12</v>
      </c>
    </row>
    <row r="9">
      <c r="B9" s="4" t="s">
        <v>13</v>
      </c>
      <c r="C9" s="5"/>
      <c r="D9" s="5"/>
      <c r="E9" s="6"/>
      <c r="F9" s="7">
        <f>SUM(F6:F8)</f>
        <v>122.96</v>
      </c>
      <c r="G9" s="5"/>
    </row>
    <row r="10">
      <c r="B10" s="2" t="s">
        <v>14</v>
      </c>
      <c r="C10" s="2" t="s">
        <v>15</v>
      </c>
      <c r="D10" s="2">
        <v>6.0</v>
      </c>
      <c r="E10" s="3">
        <v>3.0</v>
      </c>
      <c r="F10" s="3">
        <v>18.0</v>
      </c>
      <c r="G10" s="2" t="s">
        <v>16</v>
      </c>
    </row>
    <row r="11">
      <c r="B11" s="2" t="s">
        <v>14</v>
      </c>
      <c r="C11" s="2" t="s">
        <v>17</v>
      </c>
      <c r="D11" s="2">
        <v>6.0</v>
      </c>
      <c r="E11" s="3">
        <v>36.0</v>
      </c>
      <c r="F11" s="3">
        <v>216.0</v>
      </c>
      <c r="G11" s="2" t="s">
        <v>18</v>
      </c>
    </row>
    <row r="12">
      <c r="B12" s="2" t="s">
        <v>14</v>
      </c>
      <c r="C12" s="2" t="s">
        <v>19</v>
      </c>
      <c r="D12" s="2">
        <v>1.0</v>
      </c>
      <c r="E12" s="3">
        <v>53.0</v>
      </c>
      <c r="F12" s="3">
        <v>53.0</v>
      </c>
      <c r="G12" s="2" t="s">
        <v>20</v>
      </c>
    </row>
    <row r="13">
      <c r="B13" s="2" t="s">
        <v>14</v>
      </c>
      <c r="C13" s="2" t="s">
        <v>21</v>
      </c>
      <c r="D13" s="2">
        <v>6.0</v>
      </c>
      <c r="E13" s="3">
        <v>0.5</v>
      </c>
      <c r="F13" s="3">
        <v>3.0</v>
      </c>
      <c r="G13" s="2" t="s">
        <v>22</v>
      </c>
    </row>
    <row r="14">
      <c r="B14" s="2" t="s">
        <v>14</v>
      </c>
      <c r="C14" s="2" t="s">
        <v>23</v>
      </c>
      <c r="D14" s="2">
        <v>2.0</v>
      </c>
      <c r="E14" s="3">
        <v>28.0</v>
      </c>
      <c r="F14" s="3">
        <v>56.0</v>
      </c>
      <c r="G14" s="2" t="s">
        <v>24</v>
      </c>
    </row>
    <row r="15">
      <c r="B15" s="2" t="s">
        <v>14</v>
      </c>
      <c r="C15" s="2" t="s">
        <v>25</v>
      </c>
      <c r="D15" s="2">
        <v>6.0</v>
      </c>
      <c r="E15" s="3">
        <v>4.25</v>
      </c>
      <c r="F15" s="3">
        <v>25.5</v>
      </c>
      <c r="G15" s="2" t="s">
        <v>26</v>
      </c>
    </row>
    <row r="16">
      <c r="B16" s="2" t="s">
        <v>14</v>
      </c>
      <c r="C16" s="2" t="s">
        <v>27</v>
      </c>
      <c r="D16" s="2">
        <v>6.0</v>
      </c>
      <c r="E16" s="3">
        <v>0.6</v>
      </c>
      <c r="F16" s="3">
        <v>3.6</v>
      </c>
      <c r="G16" s="2" t="s">
        <v>28</v>
      </c>
    </row>
    <row r="17">
      <c r="B17" s="2" t="s">
        <v>14</v>
      </c>
      <c r="C17" s="2" t="s">
        <v>29</v>
      </c>
      <c r="D17" s="2">
        <v>1.0</v>
      </c>
      <c r="E17" s="3">
        <v>960.0</v>
      </c>
      <c r="F17" s="3">
        <v>960.0</v>
      </c>
      <c r="G17" s="2" t="s">
        <v>30</v>
      </c>
    </row>
    <row r="18">
      <c r="B18" s="2" t="s">
        <v>14</v>
      </c>
      <c r="C18" s="2" t="s">
        <v>31</v>
      </c>
      <c r="D18" s="2">
        <v>1.0</v>
      </c>
      <c r="E18" s="3">
        <v>50.0</v>
      </c>
      <c r="F18" s="3">
        <v>50.0</v>
      </c>
      <c r="G18" s="2" t="s">
        <v>32</v>
      </c>
    </row>
    <row r="19">
      <c r="B19" s="2" t="s">
        <v>14</v>
      </c>
      <c r="C19" s="2" t="s">
        <v>33</v>
      </c>
      <c r="D19" s="2">
        <v>20.0</v>
      </c>
      <c r="E19" s="3">
        <v>0.82</v>
      </c>
      <c r="F19" s="3">
        <v>16.4</v>
      </c>
      <c r="G19" s="2" t="s">
        <v>34</v>
      </c>
    </row>
    <row r="20">
      <c r="B20" s="2" t="s">
        <v>14</v>
      </c>
      <c r="C20" s="2" t="s">
        <v>35</v>
      </c>
      <c r="D20" s="2">
        <v>20.0</v>
      </c>
      <c r="E20" s="3">
        <v>1.63</v>
      </c>
      <c r="F20" s="3">
        <v>32.6</v>
      </c>
      <c r="G20" s="2" t="s">
        <v>36</v>
      </c>
    </row>
    <row r="21">
      <c r="B21" s="2" t="s">
        <v>14</v>
      </c>
      <c r="C21" s="2" t="s">
        <v>37</v>
      </c>
      <c r="D21" s="2">
        <v>1.0</v>
      </c>
      <c r="E21" s="3">
        <v>203.99</v>
      </c>
      <c r="F21" s="3">
        <v>203.99</v>
      </c>
      <c r="G21" s="2" t="s">
        <v>38</v>
      </c>
    </row>
    <row r="22">
      <c r="B22" s="2" t="s">
        <v>14</v>
      </c>
      <c r="C22" s="2" t="s">
        <v>39</v>
      </c>
      <c r="D22" s="2">
        <v>1.0</v>
      </c>
      <c r="E22" s="3">
        <v>365.0</v>
      </c>
      <c r="F22" s="3">
        <v>365.0</v>
      </c>
      <c r="G22" s="2" t="s">
        <v>40</v>
      </c>
    </row>
    <row r="23">
      <c r="B23" s="2" t="s">
        <v>14</v>
      </c>
      <c r="C23" s="2" t="s">
        <v>41</v>
      </c>
      <c r="D23" s="2">
        <v>12.0</v>
      </c>
      <c r="E23" s="3">
        <v>13.3</v>
      </c>
      <c r="F23" s="3">
        <v>159.6</v>
      </c>
      <c r="G23" s="2" t="s">
        <v>42</v>
      </c>
    </row>
    <row r="24">
      <c r="B24" s="2" t="s">
        <v>14</v>
      </c>
      <c r="C24" s="2" t="s">
        <v>43</v>
      </c>
      <c r="D24" s="2">
        <v>10.0</v>
      </c>
      <c r="E24" s="3">
        <v>4.68</v>
      </c>
      <c r="F24" s="3">
        <f>E24*D24</f>
        <v>46.8</v>
      </c>
      <c r="G24" s="2" t="s">
        <v>42</v>
      </c>
    </row>
    <row r="25">
      <c r="B25" s="4" t="s">
        <v>44</v>
      </c>
      <c r="C25" s="5"/>
      <c r="D25" s="5"/>
      <c r="E25" s="6"/>
      <c r="F25" s="7">
        <f>sum(F10:F24)</f>
        <v>2209.49</v>
      </c>
      <c r="G25" s="5"/>
    </row>
    <row r="26">
      <c r="B26" s="2" t="s">
        <v>45</v>
      </c>
      <c r="C26" s="2" t="s">
        <v>46</v>
      </c>
      <c r="D26" s="2">
        <v>1.0</v>
      </c>
      <c r="E26" s="3">
        <v>114.62</v>
      </c>
      <c r="F26" s="3">
        <v>114.62</v>
      </c>
      <c r="G26" s="2" t="s">
        <v>47</v>
      </c>
    </row>
    <row r="27">
      <c r="B27" s="2" t="s">
        <v>48</v>
      </c>
      <c r="C27" s="2" t="s">
        <v>49</v>
      </c>
      <c r="D27" s="2">
        <v>1.0</v>
      </c>
      <c r="E27" s="3">
        <f>30*1.2</f>
        <v>36</v>
      </c>
      <c r="F27" s="3">
        <v>36.0</v>
      </c>
      <c r="G27" s="2" t="s">
        <v>50</v>
      </c>
    </row>
    <row r="28">
      <c r="B28" s="2" t="s">
        <v>45</v>
      </c>
      <c r="C28" s="2" t="s">
        <v>51</v>
      </c>
      <c r="D28" s="2">
        <v>1.0</v>
      </c>
      <c r="E28" s="3">
        <f>190*1.2</f>
        <v>228</v>
      </c>
      <c r="F28" s="3">
        <v>228.0</v>
      </c>
      <c r="G28" s="2" t="s">
        <v>52</v>
      </c>
    </row>
    <row r="29">
      <c r="B29" s="8" t="s">
        <v>53</v>
      </c>
      <c r="C29" s="9"/>
      <c r="D29" s="9"/>
      <c r="E29" s="9"/>
      <c r="F29" s="10">
        <f>SUM(F26:F28)</f>
        <v>378.62</v>
      </c>
      <c r="G29" s="9"/>
    </row>
    <row r="30">
      <c r="B30" s="4" t="s">
        <v>54</v>
      </c>
      <c r="C30" s="5"/>
      <c r="D30" s="5"/>
      <c r="E30" s="5"/>
      <c r="F30" s="7">
        <f>F9+F25+F29</f>
        <v>2711.07</v>
      </c>
      <c r="G30" s="2" t="s">
        <v>55</v>
      </c>
    </row>
  </sheetData>
  <drawing r:id="rId1"/>
</worksheet>
</file>