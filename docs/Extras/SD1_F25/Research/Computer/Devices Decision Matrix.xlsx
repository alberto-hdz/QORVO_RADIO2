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<sst xmlns="http://schemas.openxmlformats.org/spreadsheetml/2006/main" count="40" uniqueCount="28">
  <si>
    <t>Health/Activity Smartwatch</t>
  </si>
  <si>
    <t>Section Criteria/Category</t>
  </si>
  <si>
    <t>Weight (1-5)</t>
  </si>
  <si>
    <t>Score</t>
  </si>
  <si>
    <t>Weighted Score</t>
  </si>
  <si>
    <t>Notes</t>
  </si>
  <si>
    <t>QPG6200L Peripheral</t>
  </si>
  <si>
    <t>Has I2C (for sensors) and I2S (for audio), strong fit for smartwatch needs.</t>
  </si>
  <si>
    <t>Power Supply Required (V)</t>
  </si>
  <si>
    <t>Operates from ~3V, but smartwatch design must carefully manage battery &amp; regulators.</t>
  </si>
  <si>
    <t>Bi-direction communication</t>
  </si>
  <si>
    <t>BLE enables smartwatch ↔ phone/app comms, good flexibility.</t>
  </si>
  <si>
    <t>Interactive</t>
  </si>
  <si>
    <t>Supports user input/output (touch, vibration, notifications, sensors).</t>
  </si>
  <si>
    <t>Estimated weight (&lt; 0.5 lbs)</t>
  </si>
  <si>
    <t>Smartwatches are typically &lt;0.2 lbs, well under requirement.</t>
  </si>
  <si>
    <t>Estimated size (3"x3"x3")</t>
  </si>
  <si>
    <t>Device will fit within a 3"x3"x3" enclosure (smartwatches are &lt;2" face).</t>
  </si>
  <si>
    <t>Total:</t>
  </si>
  <si>
    <t>Author: Kenneth L.</t>
  </si>
  <si>
    <t>9/17/2025 11:00 PM - 11:15 PM</t>
  </si>
  <si>
    <t>Smart Door</t>
  </si>
  <si>
    <t>Supports I²S/I²C; PDM mic + sensor integration feasible.</t>
  </si>
  <si>
    <t>Needs 2.5–5V; fine for wall-powered or battery-backed node.</t>
  </si>
  <si>
    <t>Thread over Matter + BLE allows door ↔ hub ↔ user interaction.</t>
  </si>
  <si>
    <t>User can trigger lock/light control; less direct interaction than wearable.</t>
  </si>
  <si>
    <t>Likely under 0.5 lbs (PCB + casing), but servo motor might add weight.</t>
  </si>
  <si>
    <t>Enclosure close to 3"x3"x3"; could fit but may be tight with motor.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</si>
</sst>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vertical="bottom"/>
    </xf>
    <xf borderId="4" fillId="0" fontId="1" numFmtId="0" xfId="0" applyAlignment="1" applyBorder="1" applyFont="1">
      <alignment horizontal="right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88"/>
    <col customWidth="1" min="5" max="5" width="13.5"/>
    <col customWidth="1" min="6" max="6" width="83.13"/>
  </cols>
  <sheetData>
    <row r="2">
      <c r="B2" s="1" t="s">
        <v>0</v>
      </c>
      <c r="C2" s="2"/>
      <c r="D2" s="2"/>
      <c r="E2" s="2"/>
      <c r="F2" s="3"/>
    </row>
    <row r="3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>
      <c r="B4" s="4" t="s">
        <v>6</v>
      </c>
      <c r="C4" s="4">
        <v>5.0</v>
      </c>
      <c r="D4" s="5">
        <v>4.0</v>
      </c>
      <c r="E4" s="4">
        <f t="shared" ref="E4:E9" si="1">C4*D4</f>
        <v>20</v>
      </c>
      <c r="F4" s="6" t="s">
        <v>7</v>
      </c>
    </row>
    <row r="5">
      <c r="B5" s="4" t="s">
        <v>8</v>
      </c>
      <c r="C5" s="4">
        <v>4.0</v>
      </c>
      <c r="D5" s="5">
        <v>3.0</v>
      </c>
      <c r="E5" s="4">
        <f t="shared" si="1"/>
        <v>12</v>
      </c>
      <c r="F5" s="6" t="s">
        <v>9</v>
      </c>
    </row>
    <row r="6">
      <c r="B6" s="4" t="s">
        <v>10</v>
      </c>
      <c r="C6" s="4">
        <v>5.0</v>
      </c>
      <c r="D6" s="5">
        <v>4.0</v>
      </c>
      <c r="E6" s="4">
        <f t="shared" si="1"/>
        <v>20</v>
      </c>
      <c r="F6" s="7" t="s">
        <v>11</v>
      </c>
    </row>
    <row r="7">
      <c r="B7" s="4" t="s">
        <v>12</v>
      </c>
      <c r="C7" s="4">
        <v>5.0</v>
      </c>
      <c r="D7" s="5">
        <v>4.0</v>
      </c>
      <c r="E7" s="4">
        <f t="shared" si="1"/>
        <v>20</v>
      </c>
      <c r="F7" s="6" t="s">
        <v>13</v>
      </c>
    </row>
    <row r="8">
      <c r="B8" s="4" t="s">
        <v>14</v>
      </c>
      <c r="C8" s="4">
        <v>3.0</v>
      </c>
      <c r="D8" s="5">
        <v>5.0</v>
      </c>
      <c r="E8" s="4">
        <f t="shared" si="1"/>
        <v>15</v>
      </c>
      <c r="F8" s="7" t="s">
        <v>15</v>
      </c>
    </row>
    <row r="9">
      <c r="B9" s="4" t="s">
        <v>16</v>
      </c>
      <c r="C9" s="4">
        <v>3.0</v>
      </c>
      <c r="D9" s="5">
        <v>5.0</v>
      </c>
      <c r="E9" s="4">
        <f t="shared" si="1"/>
        <v>15</v>
      </c>
      <c r="F9" s="7" t="s">
        <v>17</v>
      </c>
    </row>
    <row r="10">
      <c r="B10" s="8"/>
      <c r="C10" s="8"/>
      <c r="D10" s="9" t="s">
        <v>18</v>
      </c>
      <c r="E10" s="4">
        <f>sum(E4:E9)</f>
        <v>102</v>
      </c>
      <c r="F10" s="8"/>
    </row>
    <row r="13">
      <c r="B13" s="10" t="s">
        <v>19</v>
      </c>
    </row>
    <row r="14">
      <c r="B14" s="10" t="s">
        <v>20</v>
      </c>
    </row>
    <row r="16">
      <c r="B16" s="1" t="s">
        <v>21</v>
      </c>
      <c r="C16" s="2"/>
      <c r="D16" s="2"/>
      <c r="E16" s="2"/>
      <c r="F16" s="3"/>
    </row>
    <row r="17">
      <c r="B17" s="4" t="s">
        <v>1</v>
      </c>
      <c r="C17" s="4" t="s">
        <v>2</v>
      </c>
      <c r="D17" s="4" t="s">
        <v>3</v>
      </c>
      <c r="E17" s="4" t="s">
        <v>4</v>
      </c>
      <c r="F17" s="4" t="s">
        <v>5</v>
      </c>
    </row>
    <row r="18">
      <c r="B18" s="4" t="s">
        <v>6</v>
      </c>
      <c r="C18" s="4">
        <v>5.0</v>
      </c>
      <c r="D18" s="5">
        <v>4.0</v>
      </c>
      <c r="E18" s="4">
        <f t="shared" ref="E18:E23" si="2">C18*D18</f>
        <v>20</v>
      </c>
      <c r="F18" s="6" t="s">
        <v>22</v>
      </c>
    </row>
    <row r="19">
      <c r="B19" s="4" t="s">
        <v>8</v>
      </c>
      <c r="C19" s="4">
        <v>4.0</v>
      </c>
      <c r="D19" s="5">
        <v>4.0</v>
      </c>
      <c r="E19" s="4">
        <f t="shared" si="2"/>
        <v>16</v>
      </c>
      <c r="F19" s="6" t="s">
        <v>23</v>
      </c>
    </row>
    <row r="20">
      <c r="B20" s="4" t="s">
        <v>10</v>
      </c>
      <c r="C20" s="4">
        <v>5.0</v>
      </c>
      <c r="D20" s="5">
        <v>4.0</v>
      </c>
      <c r="E20" s="4">
        <f t="shared" si="2"/>
        <v>20</v>
      </c>
      <c r="F20" s="7" t="s">
        <v>24</v>
      </c>
    </row>
    <row r="21">
      <c r="B21" s="4" t="s">
        <v>12</v>
      </c>
      <c r="C21" s="4">
        <v>5.0</v>
      </c>
      <c r="D21" s="5">
        <v>3.0</v>
      </c>
      <c r="E21" s="4">
        <f t="shared" si="2"/>
        <v>15</v>
      </c>
      <c r="F21" s="6" t="s">
        <v>25</v>
      </c>
    </row>
    <row r="22">
      <c r="B22" s="4" t="s">
        <v>14</v>
      </c>
      <c r="C22" s="4">
        <v>3.0</v>
      </c>
      <c r="D22" s="5">
        <v>4.0</v>
      </c>
      <c r="E22" s="4">
        <f t="shared" si="2"/>
        <v>12</v>
      </c>
      <c r="F22" s="7" t="s">
        <v>26</v>
      </c>
    </row>
    <row r="23">
      <c r="B23" s="4" t="s">
        <v>16</v>
      </c>
      <c r="C23" s="4">
        <v>3.0</v>
      </c>
      <c r="D23" s="5">
        <v>3.0</v>
      </c>
      <c r="E23" s="4">
        <f t="shared" si="2"/>
        <v>9</v>
      </c>
      <c r="F23" s="7" t="s">
        <v>27</v>
      </c>
    </row>
    <row r="24">
      <c r="B24" s="8"/>
      <c r="C24" s="8"/>
      <c r="D24" s="9" t="s">
        <v>18</v>
      </c>
      <c r="E24" s="4">
        <f>sum(E18:E23)</f>
        <v>92</v>
      </c>
      <c r="F24" s="8"/>
    </row>
  </sheetData>
  <mergeCells count="2">
    <mergeCell ref="B2:F2"/>
    <mergeCell ref="B16:F16"/>
  </mergeCells>
  <drawing r:id="rId1"/>
</worksheet>
</file>