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<sst xmlns="http://schemas.openxmlformats.org/spreadsheetml/2006/main" count="23" uniqueCount="17">
  <si>
    <t>Wireless Protocols</t>
  </si>
  <si>
    <t>Zigbee</t>
  </si>
  <si>
    <t>BLE</t>
  </si>
  <si>
    <t>Thread Over Matter</t>
  </si>
  <si>
    <t xml:space="preserve">Section Criteria/Category </t>
  </si>
  <si>
    <t>Weight</t>
  </si>
  <si>
    <t>Score</t>
  </si>
  <si>
    <t xml:space="preserve">Weighted Score </t>
  </si>
  <si>
    <t>Range</t>
  </si>
  <si>
    <t>Power Consumption</t>
  </si>
  <si>
    <t>Data Rate</t>
  </si>
  <si>
    <t>Scalability (Network Size)</t>
  </si>
  <si>
    <t>Interoperability</t>
  </si>
  <si>
    <t>Topology Support</t>
  </si>
  <si>
    <t>Security</t>
  </si>
  <si>
    <t>Max Score: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</si>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</sst>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4" max="4" width="6.38"/>
    <col customWidth="1" min="5" max="5" width="13.5"/>
    <col customWidth="1" min="6" max="6" width="5.63"/>
    <col customWidth="1" min="7" max="7" width="13.5"/>
    <col customWidth="1" min="8" max="8" width="15.63"/>
    <col customWidth="1" min="9" max="9" width="13.5"/>
  </cols>
  <sheetData>
    <row r="1">
      <c r="D1" s="1"/>
      <c r="E1" s="1"/>
    </row>
    <row r="2">
      <c r="B2" s="2" t="s">
        <v>0</v>
      </c>
      <c r="C2" s="3"/>
      <c r="D2" s="2" t="s">
        <v>1</v>
      </c>
      <c r="E2" s="3"/>
      <c r="F2" s="2" t="s">
        <v>2</v>
      </c>
      <c r="G2" s="3"/>
      <c r="H2" s="2" t="s">
        <v>3</v>
      </c>
      <c r="I2" s="3"/>
    </row>
    <row r="3">
      <c r="B3" s="4" t="s">
        <v>4</v>
      </c>
      <c r="C3" s="4" t="s">
        <v>5</v>
      </c>
      <c r="D3" s="4" t="s">
        <v>6</v>
      </c>
      <c r="E3" s="4" t="s">
        <v>7</v>
      </c>
      <c r="F3" s="4" t="s">
        <v>6</v>
      </c>
      <c r="G3" s="4" t="s">
        <v>7</v>
      </c>
      <c r="H3" s="4" t="s">
        <v>6</v>
      </c>
      <c r="I3" s="4" t="s">
        <v>7</v>
      </c>
    </row>
    <row r="4">
      <c r="B4" s="5" t="s">
        <v>8</v>
      </c>
      <c r="C4" s="6">
        <v>5.0</v>
      </c>
      <c r="D4" s="6">
        <v>4.0</v>
      </c>
      <c r="E4" s="7">
        <f t="shared" ref="E4:E10" si="1">C4*D4</f>
        <v>20</v>
      </c>
      <c r="F4" s="6">
        <v>3.0</v>
      </c>
      <c r="G4" s="7">
        <f t="shared" ref="G4:G10" si="2">C4*F4</f>
        <v>15</v>
      </c>
      <c r="H4" s="6">
        <v>4.0</v>
      </c>
      <c r="I4" s="7">
        <f t="shared" ref="I4:I10" si="3">C4*H4</f>
        <v>20</v>
      </c>
    </row>
    <row r="5">
      <c r="B5" s="5" t="s">
        <v>9</v>
      </c>
      <c r="C5" s="6">
        <v>1.0</v>
      </c>
      <c r="D5" s="6">
        <v>4.0</v>
      </c>
      <c r="E5" s="7">
        <f t="shared" si="1"/>
        <v>4</v>
      </c>
      <c r="F5" s="6">
        <v>5.0</v>
      </c>
      <c r="G5" s="7">
        <f t="shared" si="2"/>
        <v>5</v>
      </c>
      <c r="H5" s="6">
        <v>4.0</v>
      </c>
      <c r="I5" s="7">
        <f t="shared" si="3"/>
        <v>4</v>
      </c>
    </row>
    <row r="6">
      <c r="B6" s="5" t="s">
        <v>10</v>
      </c>
      <c r="C6" s="6">
        <v>3.0</v>
      </c>
      <c r="D6" s="6">
        <v>2.0</v>
      </c>
      <c r="E6" s="7">
        <f t="shared" si="1"/>
        <v>6</v>
      </c>
      <c r="F6" s="6">
        <v>4.0</v>
      </c>
      <c r="G6" s="7">
        <f t="shared" si="2"/>
        <v>12</v>
      </c>
      <c r="H6" s="6">
        <v>2.0</v>
      </c>
      <c r="I6" s="7">
        <f t="shared" si="3"/>
        <v>6</v>
      </c>
    </row>
    <row r="7">
      <c r="B7" s="5" t="s">
        <v>11</v>
      </c>
      <c r="C7" s="6">
        <v>3.0</v>
      </c>
      <c r="D7" s="6">
        <v>5.0</v>
      </c>
      <c r="E7" s="7">
        <f t="shared" si="1"/>
        <v>15</v>
      </c>
      <c r="F7" s="6">
        <v>2.0</v>
      </c>
      <c r="G7" s="7">
        <f t="shared" si="2"/>
        <v>6</v>
      </c>
      <c r="H7" s="6">
        <v>4.0</v>
      </c>
      <c r="I7" s="7">
        <f t="shared" si="3"/>
        <v>12</v>
      </c>
    </row>
    <row r="8">
      <c r="B8" s="5" t="s">
        <v>12</v>
      </c>
      <c r="C8" s="6">
        <v>4.0</v>
      </c>
      <c r="D8" s="6">
        <v>3.0</v>
      </c>
      <c r="E8" s="7">
        <f t="shared" si="1"/>
        <v>12</v>
      </c>
      <c r="F8" s="6">
        <v>5.0</v>
      </c>
      <c r="G8" s="7">
        <f t="shared" si="2"/>
        <v>20</v>
      </c>
      <c r="H8" s="6">
        <v>5.0</v>
      </c>
      <c r="I8" s="7">
        <f t="shared" si="3"/>
        <v>20</v>
      </c>
    </row>
    <row r="9">
      <c r="B9" s="5" t="s">
        <v>13</v>
      </c>
      <c r="C9" s="8">
        <v>4.0</v>
      </c>
      <c r="D9" s="8">
        <v>5.0</v>
      </c>
      <c r="E9" s="7">
        <f t="shared" si="1"/>
        <v>20</v>
      </c>
      <c r="F9" s="8">
        <v>3.0</v>
      </c>
      <c r="G9" s="7">
        <f t="shared" si="2"/>
        <v>12</v>
      </c>
      <c r="H9" s="8">
        <v>5.0</v>
      </c>
      <c r="I9" s="7">
        <f t="shared" si="3"/>
        <v>20</v>
      </c>
    </row>
    <row r="10">
      <c r="B10" s="5" t="s">
        <v>14</v>
      </c>
      <c r="C10" s="8">
        <v>3.0</v>
      </c>
      <c r="D10" s="8">
        <v>4.0</v>
      </c>
      <c r="E10" s="7">
        <f t="shared" si="1"/>
        <v>12</v>
      </c>
      <c r="F10" s="8">
        <v>4.0</v>
      </c>
      <c r="G10" s="7">
        <f t="shared" si="2"/>
        <v>12</v>
      </c>
      <c r="H10" s="8">
        <v>5.0</v>
      </c>
      <c r="I10" s="7">
        <f t="shared" si="3"/>
        <v>15</v>
      </c>
    </row>
    <row r="11">
      <c r="B11" s="9" t="s">
        <v>15</v>
      </c>
      <c r="C11" s="10">
        <f>5*SUM(C4:C10)</f>
        <v>115</v>
      </c>
      <c r="D11" s="4" t="s">
        <v>16</v>
      </c>
      <c r="E11" s="10">
        <f>SUM(E4:E10)</f>
        <v>89</v>
      </c>
      <c r="F11" s="4" t="s">
        <v>16</v>
      </c>
      <c r="G11" s="10">
        <f>SUM(G4:G10)</f>
        <v>82</v>
      </c>
      <c r="H11" s="4" t="s">
        <v>16</v>
      </c>
      <c r="I11" s="10">
        <f>SUM(I4:I10)</f>
        <v>97</v>
      </c>
    </row>
    <row r="12">
      <c r="B12" s="11"/>
      <c r="C12" s="12"/>
      <c r="D12" s="12"/>
      <c r="E12" s="12"/>
      <c r="F12" s="11"/>
    </row>
    <row r="13">
      <c r="B13" s="11"/>
      <c r="C13" s="12"/>
      <c r="D13" s="12"/>
      <c r="E13" s="12"/>
      <c r="F13" s="11"/>
    </row>
    <row r="14">
      <c r="B14" s="11"/>
      <c r="C14" s="11"/>
      <c r="F14" s="11"/>
    </row>
  </sheetData>
  <mergeCells count="4">
    <mergeCell ref="B2:C2"/>
    <mergeCell ref="D2:E2"/>
    <mergeCell ref="F2:G2"/>
    <mergeCell ref="H2:I2"/>
  </mergeCells>
  <drawing r:id="rId1"/>
</worksheet>
</file>