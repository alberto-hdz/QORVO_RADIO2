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uke1" sheetId="1" r:id="rId5"/>
    <sheet state="visible" name="Luke2" sheetId="2" r:id="rId6"/>
    <sheet state="visible" name="Luke3" sheetId="3" r:id="rId7"/>
    <sheet state="visible" name="Kenneth1" sheetId="4" r:id="rId8"/>
    <sheet state="visible" name="Kenneth2" sheetId="5" r:id="rId9"/>
    <sheet state="visible" name="Alberto1" sheetId="6" r:id="rId10"/>
    <sheet state="visible" name="Alberto2" sheetId="7" r:id="rId11"/>
    <sheet state="visible" name="Abdul1" sheetId="8" r:id="rId12"/>
    <sheet state="visible" name="Abdul2" sheetId="9" r:id="rId13"/>
    <sheet state="visible" name="Ethan1" sheetId="10" r:id="rId14"/>
    <sheet state="visible" name="Smartwatch" sheetId="11" r:id="rId15"/>
    <sheet state="visible" name="Entryway" sheetId="12" r:id="rId16"/>
    <sheet state="visible" name="Greenhouse" sheetId="13" r:id="rId17"/>
    <sheet state="visible" name="Demo Ideas" sheetId="14" r:id="rId18"/>
  </sheets>
  <definedNames/>
  <calcPr/>
</workbook>
</file>

<file path=xl/sharedStrings.xml><?xml version="1.0" encoding="utf-8"?>
<sst xmlns="http://schemas.openxmlformats.org/spreadsheetml/2006/main" count="260" uniqueCount="111">
  <si>
    <t>Soil Moisture Sensor</t>
  </si>
  <si>
    <t>Section Criteria/Category</t>
  </si>
  <si>
    <t>Weight (1-5)</t>
  </si>
  <si>
    <t>Score</t>
  </si>
  <si>
    <t>Weighted Score</t>
  </si>
  <si>
    <t>Notes</t>
  </si>
  <si>
    <t>QPG6200L Peripheral</t>
  </si>
  <si>
    <t>Utlizes Analog peripheral</t>
  </si>
  <si>
    <t>Power Supply Required (V)</t>
  </si>
  <si>
    <t>Most options require 3.3V supply</t>
  </si>
  <si>
    <t>Bi-direction communication</t>
  </si>
  <si>
    <t>Sensor can be turned on and off, and transmits signals that contain data.</t>
  </si>
  <si>
    <t>Interactive</t>
  </si>
  <si>
    <t>Limited physical controls, can be physical moved to collect various measurments.</t>
  </si>
  <si>
    <t>Estimated weight (&lt; 0.5 lbs)</t>
  </si>
  <si>
    <t>Device and PCB will be small and handheld</t>
  </si>
  <si>
    <t>Estimated size (3"x3"x3")</t>
  </si>
  <si>
    <t>Device may exceed 3" in length, but not in width or height</t>
  </si>
  <si>
    <t xml:space="preserve">Independance </t>
  </si>
  <si>
    <t>Total:</t>
  </si>
  <si>
    <t>Audio Speaker</t>
  </si>
  <si>
    <t xml:space="preserve">Options for I2S and I2C peripherals.
</t>
  </si>
  <si>
    <t xml:space="preserve">Multiple devices will require 2.5V - 5V supply voltage.
</t>
  </si>
  <si>
    <t xml:space="preserve">Users can control noises played, start/stop these noises, speaker has limited if no communication back to user.
</t>
  </si>
  <si>
    <t xml:space="preserve">Users can play a variety of noises and start/stop noises, as well as volume control.
</t>
  </si>
  <si>
    <t xml:space="preserve">Device weight may reach weight limit.
</t>
  </si>
  <si>
    <t xml:space="preserve">Device will utilize a 3"x3"x3" enclosure.
</t>
  </si>
  <si>
    <t>Ultrasonic Sensor</t>
  </si>
  <si>
    <t>Options for UART, PW (Pulese Width), and ADC.</t>
  </si>
  <si>
    <t>Devices will require 3.3V - 5V supply voltage.</t>
  </si>
  <si>
    <t>Device can communicate to user with data, User could take that data to control a device.</t>
  </si>
  <si>
    <t>Users move in front of the device to control a seperate device (ex: Light bulb).</t>
  </si>
  <si>
    <t>Deivce wil meet weight requirment.</t>
  </si>
  <si>
    <t>Device will utilize less than the required enclosure.</t>
  </si>
  <si>
    <t>Independance</t>
  </si>
  <si>
    <t>Health/Activity Smartwatch</t>
  </si>
  <si>
    <t>Has I2C (for sensors) and I2S (for audio), strong fit for smartwatch needs.</t>
  </si>
  <si>
    <t>Operates from ~3V, but smartwatch design must carefully manage battery &amp; regulators.</t>
  </si>
  <si>
    <t>BLE enables smartwatch ↔ phone/app comms, good flexibility.</t>
  </si>
  <si>
    <t>Supports user input/output (touch, vibration, notifications, sensors).</t>
  </si>
  <si>
    <t>Smartwatches are typically &lt;0.2 lbs, well under requirement.</t>
  </si>
  <si>
    <t>Device will fit within a 3"x3"x3" enclosure (smartwatches are &lt;2" face).</t>
  </si>
  <si>
    <t>motion sensor</t>
  </si>
  <si>
    <t>Smart Door</t>
  </si>
  <si>
    <t>Supports I²S/I²C; PDM mic + sensor integration feasible.</t>
  </si>
  <si>
    <t>Needs 2.5–5V; fine for wall-powered or battery-backed node.</t>
  </si>
  <si>
    <t>Thread over Matter + BLE allows door ↔ hub ↔ user interaction.</t>
  </si>
  <si>
    <t>User can trigger lock/light control; less direct interaction than wearable.</t>
  </si>
  <si>
    <t>Likely under 0.5 lbs (PCB + casing), but servo motor might add weight.</t>
  </si>
  <si>
    <t>Enclosure close to 3"x3"x3"; could fit but may be tight with motor.</t>
  </si>
  <si>
    <t>Independence</t>
  </si>
  <si>
    <t xml:space="preserve">Air Quality Monitor </t>
  </si>
  <si>
    <t xml:space="preserve">Section Criteria/Category </t>
  </si>
  <si>
    <t xml:space="preserve">Weight (1-5) </t>
  </si>
  <si>
    <t>Uses I2C interface and Analog Peripheral</t>
  </si>
  <si>
    <t>2.4-5.5V</t>
  </si>
  <si>
    <t>Bi-directional Communication</t>
  </si>
  <si>
    <t xml:space="preserve">Samples and transmits data every 5 seconds </t>
  </si>
  <si>
    <t>Can be moved into different enviornments to test air quality</t>
  </si>
  <si>
    <t>Estimeighted Weight (&lt;0.5 lbs)</t>
  </si>
  <si>
    <t>Will be under weight limit</t>
  </si>
  <si>
    <t xml:space="preserve">Estimeighted Size (3"x3"x3") </t>
  </si>
  <si>
    <t>Could Be made under size restriction</t>
  </si>
  <si>
    <t>Total</t>
  </si>
  <si>
    <t>Position Tracker</t>
  </si>
  <si>
    <t>UART/I2C</t>
  </si>
  <si>
    <t>1.65-3.6V</t>
  </si>
  <si>
    <t xml:space="preserve">Will continuously update position </t>
  </si>
  <si>
    <t>Can be moved around to see tracking on interface</t>
  </si>
  <si>
    <t>May be harder to meet requirement</t>
  </si>
  <si>
    <t>Doorbell</t>
  </si>
  <si>
    <t>UART/Analog</t>
  </si>
  <si>
    <t>1.7-3.6V</t>
  </si>
  <si>
    <t xml:space="preserve">Allows a user to hear and speak to visitors 
</t>
  </si>
  <si>
    <t xml:space="preserve">Highly interactive with users.
</t>
  </si>
  <si>
    <t xml:space="preserve">Device may exceed 3" in length, but not in width or height.
</t>
  </si>
  <si>
    <t>Motion Sensor</t>
  </si>
  <si>
    <t xml:space="preserve">Can use UART, analog peripheral, I2C, SPI. . 
</t>
  </si>
  <si>
    <t xml:space="preserve">Allows for data transmission through detected motion, and receival by wireless settings
</t>
  </si>
  <si>
    <t xml:space="preserve">Highly interactive with users, goes beyond simple detection and able to analyze other factors if programmed that way
</t>
  </si>
  <si>
    <t xml:space="preserve">Depends on how it is built, but it shouldn’t exceed the weight restriction
</t>
  </si>
  <si>
    <t xml:space="preserve">Device should be able to stay within constraints.
</t>
  </si>
  <si>
    <t xml:space="preserve">SmartWatch </t>
  </si>
  <si>
    <t>Category</t>
  </si>
  <si>
    <t>Weight</t>
  </si>
  <si>
    <t>Power Consumption</t>
  </si>
  <si>
    <t>Battery Life Concern</t>
  </si>
  <si>
    <t>Device Interface</t>
  </si>
  <si>
    <t>Limited interface on device; relies on tablet</t>
  </si>
  <si>
    <t>Enclosure Size</t>
  </si>
  <si>
    <t>Ergonomics Concern/ 3x3x3 Constrains</t>
  </si>
  <si>
    <t>Peripheral Used</t>
  </si>
  <si>
    <t xml:space="preserve">I2C/SPI/UART 
</t>
  </si>
  <si>
    <t xml:space="preserve">Weight </t>
  </si>
  <si>
    <t>Slight Concern, May be more than 0.5lbs</t>
  </si>
  <si>
    <t xml:space="preserve">Creativity </t>
  </si>
  <si>
    <t>Very creative</t>
  </si>
  <si>
    <t>Max Possible Score</t>
  </si>
  <si>
    <t>Entryway</t>
  </si>
  <si>
    <t>Separate PCB maybe to lower power consumption (daisy chain)</t>
  </si>
  <si>
    <t>Notification from doorbell, motion sensed, speaking back and forth, unlocking remotely</t>
  </si>
  <si>
    <t>Bend rules</t>
  </si>
  <si>
    <t>UART/Analog/IS2/ISC/SPI/PDM</t>
  </si>
  <si>
    <t>Not flashy but may work well</t>
  </si>
  <si>
    <t>Greenhouse</t>
  </si>
  <si>
    <t>Multiple coincells</t>
  </si>
  <si>
    <t>All info displayed on tablet</t>
  </si>
  <si>
    <t>Analog/I2C/I2S</t>
  </si>
  <si>
    <t>Demo Idea</t>
  </si>
  <si>
    <t>Smart Watch</t>
  </si>
  <si>
    <t>Max Score: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</si>
</sst>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/>
    <font>
      <color theme="1"/>
      <name val="Arial"/>
      <scheme val="minor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9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vertical="bottom"/>
    </xf>
    <xf borderId="4" fillId="0" fontId="1" numFmtId="0" xfId="0" applyBorder="1" applyFont="1"/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1" numFmtId="0" xfId="0" applyAlignment="1" applyFont="1">
      <alignment vertical="bottom"/>
    </xf>
    <xf borderId="4" fillId="0" fontId="1" numFmtId="0" xfId="0" applyAlignment="1" applyBorder="1" applyFont="1">
      <alignment horizontal="right"/>
    </xf>
    <xf borderId="1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readingOrder="0" vertical="bottom"/>
    </xf>
    <xf borderId="4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horizontal="right" vertical="bottom"/>
    </xf>
    <xf borderId="1" fillId="0" fontId="1" numFmtId="0" xfId="0" applyAlignment="1" applyBorder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4" fillId="2" fontId="1" numFmtId="0" xfId="0" applyAlignment="1" applyBorder="1" applyFont="1">
      <alignment vertical="bottom"/>
    </xf>
    <xf borderId="4" fillId="2" fontId="1" numFmtId="0" xfId="0" applyAlignment="1" applyBorder="1" applyFont="1">
      <alignment horizontal="center" vertical="bottom"/>
    </xf>
    <xf borderId="4" fillId="2" fontId="1" numFmtId="0" xfId="0" applyAlignment="1" applyBorder="1" applyFont="1">
      <alignment horizontal="right" vertical="bottom"/>
    </xf>
    <xf borderId="4" fillId="2" fontId="1" numFmtId="0" xfId="0" applyAlignment="1" applyBorder="1" applyFont="1">
      <alignment horizontal="right" readingOrder="0" vertical="bottom"/>
    </xf>
    <xf borderId="0" fillId="2" fontId="1" numFmtId="0" xfId="0" applyAlignment="1" applyFont="1">
      <alignment vertical="bottom"/>
    </xf>
    <xf borderId="0" fillId="2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1" fillId="2" fontId="1" numFmtId="0" xfId="0" applyAlignment="1" applyBorder="1" applyFont="1">
      <alignment horizontal="center" readingOrder="0" vertical="bottom"/>
    </xf>
    <xf borderId="4" fillId="2" fontId="1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/>
    </xf>
    <xf borderId="6" fillId="0" fontId="2" numFmtId="0" xfId="0" applyBorder="1" applyFont="1"/>
    <xf borderId="7" fillId="0" fontId="2" numFmtId="0" xfId="0" applyBorder="1" applyFont="1"/>
    <xf borderId="8" fillId="0" fontId="3" numFmtId="0" xfId="0" applyAlignment="1" applyBorder="1" applyFont="1">
      <alignment horizontal="center" readingOrder="0"/>
    </xf>
    <xf borderId="8" fillId="0" fontId="3" numFmtId="0" xfId="0" applyAlignment="1" applyBorder="1" applyFont="1">
      <alignment readingOrder="0"/>
    </xf>
    <xf borderId="8" fillId="0" fontId="3" numFmtId="0" xfId="0" applyBorder="1" applyFont="1"/>
    <xf borderId="8" fillId="0" fontId="4" numFmtId="0" xfId="0" applyAlignment="1" applyBorder="1" applyFont="1">
      <alignment readingOrder="0"/>
    </xf>
    <xf borderId="8" fillId="0" fontId="3" numFmtId="0" xfId="0" applyAlignment="1" applyBorder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1.88"/>
    <col customWidth="1" min="3" max="3" width="10.38"/>
    <col customWidth="1" min="4" max="4" width="5.63"/>
    <col customWidth="1" min="5" max="5" width="13.13"/>
    <col customWidth="1" min="6" max="6" width="61.13"/>
  </cols>
  <sheetData>
    <row r="6">
      <c r="B6" s="1" t="s">
        <v>0</v>
      </c>
      <c r="C6" s="2"/>
      <c r="D6" s="2"/>
      <c r="E6" s="2"/>
      <c r="F6" s="3"/>
    </row>
    <row r="7">
      <c r="B7" s="4" t="s">
        <v>1</v>
      </c>
      <c r="C7" s="4" t="s">
        <v>2</v>
      </c>
      <c r="D7" s="4" t="s">
        <v>3</v>
      </c>
      <c r="E7" s="4" t="s">
        <v>4</v>
      </c>
      <c r="F7" s="4" t="s">
        <v>5</v>
      </c>
    </row>
    <row r="8">
      <c r="B8" s="4" t="s">
        <v>6</v>
      </c>
      <c r="C8" s="4">
        <v>5.0</v>
      </c>
      <c r="D8" s="5">
        <v>1.0</v>
      </c>
      <c r="E8" s="4">
        <f t="shared" ref="E8:E14" si="1">C8*D8</f>
        <v>5</v>
      </c>
      <c r="F8" s="6" t="s">
        <v>7</v>
      </c>
    </row>
    <row r="9">
      <c r="B9" s="4" t="s">
        <v>8</v>
      </c>
      <c r="C9" s="5">
        <v>1.0</v>
      </c>
      <c r="D9" s="5">
        <v>3.0</v>
      </c>
      <c r="E9" s="4">
        <f t="shared" si="1"/>
        <v>3</v>
      </c>
      <c r="F9" s="6" t="s">
        <v>9</v>
      </c>
    </row>
    <row r="10">
      <c r="B10" s="4" t="s">
        <v>10</v>
      </c>
      <c r="C10" s="4">
        <v>5.0</v>
      </c>
      <c r="D10" s="5">
        <v>3.0</v>
      </c>
      <c r="E10" s="4">
        <f t="shared" si="1"/>
        <v>15</v>
      </c>
      <c r="F10" s="7" t="s">
        <v>11</v>
      </c>
    </row>
    <row r="11">
      <c r="B11" s="4" t="s">
        <v>12</v>
      </c>
      <c r="C11" s="5">
        <v>4.0</v>
      </c>
      <c r="D11" s="5">
        <v>3.0</v>
      </c>
      <c r="E11" s="4">
        <f t="shared" si="1"/>
        <v>12</v>
      </c>
      <c r="F11" s="6" t="s">
        <v>13</v>
      </c>
    </row>
    <row r="12">
      <c r="B12" s="4" t="s">
        <v>14</v>
      </c>
      <c r="C12" s="5">
        <v>2.0</v>
      </c>
      <c r="D12" s="5">
        <v>5.0</v>
      </c>
      <c r="E12" s="4">
        <f t="shared" si="1"/>
        <v>10</v>
      </c>
      <c r="F12" s="7" t="s">
        <v>15</v>
      </c>
    </row>
    <row r="13">
      <c r="B13" s="4" t="s">
        <v>16</v>
      </c>
      <c r="C13" s="5">
        <v>2.0</v>
      </c>
      <c r="D13" s="5">
        <v>5.0</v>
      </c>
      <c r="E13" s="4">
        <f t="shared" si="1"/>
        <v>10</v>
      </c>
      <c r="F13" s="7" t="s">
        <v>17</v>
      </c>
    </row>
    <row r="14">
      <c r="B14" s="8" t="s">
        <v>18</v>
      </c>
      <c r="C14" s="8">
        <v>3.0</v>
      </c>
      <c r="D14" s="9">
        <v>5.0</v>
      </c>
      <c r="E14" s="10">
        <f t="shared" si="1"/>
        <v>15</v>
      </c>
      <c r="F14" s="11"/>
    </row>
    <row r="15">
      <c r="D15" s="12" t="s">
        <v>19</v>
      </c>
      <c r="E15" s="4">
        <f>sum(E8:E14)</f>
        <v>70</v>
      </c>
    </row>
  </sheetData>
  <mergeCells count="1">
    <mergeCell ref="B6:F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88"/>
    <col customWidth="1" min="3" max="3" width="10.38"/>
    <col customWidth="1" min="4" max="4" width="5.63"/>
    <col customWidth="1" min="5" max="5" width="13.13"/>
    <col customWidth="1" min="6" max="6" width="83.38"/>
  </cols>
  <sheetData>
    <row r="3">
      <c r="B3" s="13" t="s">
        <v>20</v>
      </c>
      <c r="C3" s="2"/>
      <c r="D3" s="2"/>
      <c r="E3" s="2"/>
      <c r="F3" s="3"/>
    </row>
    <row r="4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</row>
    <row r="5">
      <c r="B5" s="4" t="s">
        <v>6</v>
      </c>
      <c r="C5" s="4">
        <v>5.0</v>
      </c>
      <c r="D5" s="5">
        <v>3.0</v>
      </c>
      <c r="E5" s="4">
        <f t="shared" ref="E5:E11" si="1">C5*D5</f>
        <v>15</v>
      </c>
      <c r="F5" s="14" t="s">
        <v>21</v>
      </c>
    </row>
    <row r="6">
      <c r="B6" s="4" t="s">
        <v>8</v>
      </c>
      <c r="C6" s="5">
        <v>1.0</v>
      </c>
      <c r="D6" s="5">
        <v>3.0</v>
      </c>
      <c r="E6" s="4">
        <f t="shared" si="1"/>
        <v>3</v>
      </c>
      <c r="F6" s="14" t="s">
        <v>22</v>
      </c>
    </row>
    <row r="7">
      <c r="B7" s="4" t="s">
        <v>10</v>
      </c>
      <c r="C7" s="4">
        <v>5.0</v>
      </c>
      <c r="D7" s="5">
        <v>2.0</v>
      </c>
      <c r="E7" s="4">
        <f t="shared" si="1"/>
        <v>10</v>
      </c>
      <c r="F7" s="15" t="s">
        <v>23</v>
      </c>
    </row>
    <row r="8">
      <c r="B8" s="4" t="s">
        <v>12</v>
      </c>
      <c r="C8" s="5">
        <v>4.0</v>
      </c>
      <c r="D8" s="5">
        <v>4.0</v>
      </c>
      <c r="E8" s="4">
        <f t="shared" si="1"/>
        <v>16</v>
      </c>
      <c r="F8" s="14" t="s">
        <v>24</v>
      </c>
    </row>
    <row r="9">
      <c r="B9" s="4" t="s">
        <v>14</v>
      </c>
      <c r="C9" s="5">
        <v>2.0</v>
      </c>
      <c r="D9" s="5">
        <v>5.0</v>
      </c>
      <c r="E9" s="4">
        <f t="shared" si="1"/>
        <v>10</v>
      </c>
      <c r="F9" s="15" t="s">
        <v>25</v>
      </c>
    </row>
    <row r="10">
      <c r="B10" s="4" t="s">
        <v>16</v>
      </c>
      <c r="C10" s="5">
        <v>2.0</v>
      </c>
      <c r="D10" s="5">
        <v>5.0</v>
      </c>
      <c r="E10" s="4">
        <f t="shared" si="1"/>
        <v>10</v>
      </c>
      <c r="F10" s="15" t="s">
        <v>26</v>
      </c>
    </row>
    <row r="11">
      <c r="B11" s="8" t="s">
        <v>18</v>
      </c>
      <c r="C11" s="8">
        <v>3.0</v>
      </c>
      <c r="D11" s="9">
        <v>1.0</v>
      </c>
      <c r="E11" s="10">
        <f t="shared" si="1"/>
        <v>3</v>
      </c>
      <c r="F11" s="11"/>
    </row>
    <row r="12">
      <c r="D12" s="12" t="s">
        <v>19</v>
      </c>
      <c r="E12" s="4">
        <f>sum(E5:E11)</f>
        <v>67</v>
      </c>
    </row>
  </sheetData>
  <mergeCells count="1">
    <mergeCell ref="B3:F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88"/>
    <col customWidth="1" min="3" max="3" width="10.38"/>
    <col customWidth="1" min="4" max="4" width="5.63"/>
    <col customWidth="1" min="5" max="5" width="13.13"/>
    <col customWidth="1" min="6" max="6" width="66.5"/>
  </cols>
  <sheetData>
    <row r="3">
      <c r="B3" s="16" t="s">
        <v>27</v>
      </c>
      <c r="C3" s="2"/>
      <c r="D3" s="2"/>
      <c r="E3" s="2"/>
      <c r="F3" s="3"/>
    </row>
    <row r="4">
      <c r="B4" s="17" t="s">
        <v>1</v>
      </c>
      <c r="C4" s="17" t="s">
        <v>2</v>
      </c>
      <c r="D4" s="17" t="s">
        <v>3</v>
      </c>
      <c r="E4" s="17" t="s">
        <v>4</v>
      </c>
      <c r="F4" s="17" t="s">
        <v>5</v>
      </c>
    </row>
    <row r="5">
      <c r="B5" s="17" t="s">
        <v>6</v>
      </c>
      <c r="C5" s="17">
        <v>5.0</v>
      </c>
      <c r="D5" s="18">
        <v>5.0</v>
      </c>
      <c r="E5" s="17">
        <f t="shared" ref="E5:E11" si="1">C5*D5</f>
        <v>25</v>
      </c>
      <c r="F5" s="6" t="s">
        <v>28</v>
      </c>
    </row>
    <row r="6">
      <c r="B6" s="17" t="s">
        <v>8</v>
      </c>
      <c r="C6" s="18">
        <v>1.0</v>
      </c>
      <c r="D6" s="18">
        <v>2.0</v>
      </c>
      <c r="E6" s="17">
        <f t="shared" si="1"/>
        <v>2</v>
      </c>
      <c r="F6" s="6" t="s">
        <v>29</v>
      </c>
    </row>
    <row r="7">
      <c r="B7" s="17" t="s">
        <v>10</v>
      </c>
      <c r="C7" s="17">
        <v>5.0</v>
      </c>
      <c r="D7" s="18">
        <v>5.0</v>
      </c>
      <c r="E7" s="17">
        <f t="shared" si="1"/>
        <v>25</v>
      </c>
      <c r="F7" s="6" t="s">
        <v>30</v>
      </c>
    </row>
    <row r="8">
      <c r="B8" s="17" t="s">
        <v>12</v>
      </c>
      <c r="C8" s="18">
        <v>4.0</v>
      </c>
      <c r="D8" s="17">
        <v>5.0</v>
      </c>
      <c r="E8" s="17">
        <f t="shared" si="1"/>
        <v>20</v>
      </c>
      <c r="F8" s="6" t="s">
        <v>31</v>
      </c>
    </row>
    <row r="9">
      <c r="B9" s="17" t="s">
        <v>14</v>
      </c>
      <c r="C9" s="18">
        <v>2.0</v>
      </c>
      <c r="D9" s="17">
        <v>5.0</v>
      </c>
      <c r="E9" s="17">
        <f t="shared" si="1"/>
        <v>10</v>
      </c>
      <c r="F9" s="6" t="s">
        <v>32</v>
      </c>
    </row>
    <row r="10">
      <c r="B10" s="17" t="s">
        <v>16</v>
      </c>
      <c r="C10" s="18">
        <v>2.0</v>
      </c>
      <c r="D10" s="17">
        <v>5.0</v>
      </c>
      <c r="E10" s="17">
        <f t="shared" si="1"/>
        <v>10</v>
      </c>
      <c r="F10" s="6" t="s">
        <v>33</v>
      </c>
    </row>
    <row r="11">
      <c r="B11" s="8" t="s">
        <v>34</v>
      </c>
      <c r="C11" s="11"/>
      <c r="D11" s="9">
        <v>1.0</v>
      </c>
      <c r="E11" s="10">
        <f t="shared" si="1"/>
        <v>0</v>
      </c>
      <c r="F11" s="11"/>
    </row>
    <row r="12">
      <c r="D12" s="19" t="s">
        <v>19</v>
      </c>
      <c r="E12" s="17">
        <f>sum(E5:E11)</f>
        <v>92</v>
      </c>
    </row>
  </sheetData>
  <mergeCells count="1">
    <mergeCell ref="B3:F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88"/>
    <col customWidth="1" min="3" max="3" width="10.38"/>
    <col customWidth="1" min="4" max="4" width="5.63"/>
    <col customWidth="1" min="5" max="5" width="13.13"/>
    <col customWidth="1" min="6" max="6" width="65.5"/>
  </cols>
  <sheetData>
    <row r="3">
      <c r="B3" s="20" t="s">
        <v>35</v>
      </c>
      <c r="C3" s="2"/>
      <c r="D3" s="2"/>
      <c r="E3" s="2"/>
      <c r="F3" s="3"/>
    </row>
    <row r="4">
      <c r="B4" s="17" t="s">
        <v>1</v>
      </c>
      <c r="C4" s="17" t="s">
        <v>2</v>
      </c>
      <c r="D4" s="17" t="s">
        <v>3</v>
      </c>
      <c r="E4" s="17" t="s">
        <v>4</v>
      </c>
      <c r="F4" s="17" t="s">
        <v>5</v>
      </c>
    </row>
    <row r="5">
      <c r="B5" s="17" t="s">
        <v>6</v>
      </c>
      <c r="C5" s="17">
        <v>5.0</v>
      </c>
      <c r="D5" s="18">
        <v>5.0</v>
      </c>
      <c r="E5" s="17">
        <f t="shared" ref="E5:E11" si="1">C5*D5</f>
        <v>25</v>
      </c>
      <c r="F5" s="6" t="s">
        <v>36</v>
      </c>
    </row>
    <row r="6">
      <c r="B6" s="17" t="s">
        <v>8</v>
      </c>
      <c r="C6" s="18">
        <v>1.0</v>
      </c>
      <c r="D6" s="18">
        <v>4.0</v>
      </c>
      <c r="E6" s="17">
        <f t="shared" si="1"/>
        <v>4</v>
      </c>
      <c r="F6" s="6" t="s">
        <v>37</v>
      </c>
    </row>
    <row r="7">
      <c r="B7" s="17" t="s">
        <v>10</v>
      </c>
      <c r="C7" s="17">
        <v>5.0</v>
      </c>
      <c r="D7" s="18">
        <v>5.0</v>
      </c>
      <c r="E7" s="17">
        <f t="shared" si="1"/>
        <v>25</v>
      </c>
      <c r="F7" s="6" t="s">
        <v>38</v>
      </c>
    </row>
    <row r="8">
      <c r="B8" s="17" t="s">
        <v>12</v>
      </c>
      <c r="C8" s="18">
        <v>4.0</v>
      </c>
      <c r="D8" s="18">
        <v>5.0</v>
      </c>
      <c r="E8" s="17">
        <f t="shared" si="1"/>
        <v>20</v>
      </c>
      <c r="F8" s="6" t="s">
        <v>39</v>
      </c>
    </row>
    <row r="9">
      <c r="B9" s="17" t="s">
        <v>14</v>
      </c>
      <c r="C9" s="18">
        <v>2.0</v>
      </c>
      <c r="D9" s="18">
        <v>3.0</v>
      </c>
      <c r="E9" s="17">
        <f t="shared" si="1"/>
        <v>6</v>
      </c>
      <c r="F9" s="6" t="s">
        <v>40</v>
      </c>
    </row>
    <row r="10">
      <c r="B10" s="17" t="s">
        <v>16</v>
      </c>
      <c r="C10" s="18">
        <v>2.0</v>
      </c>
      <c r="D10" s="18">
        <v>3.0</v>
      </c>
      <c r="E10" s="17">
        <f t="shared" si="1"/>
        <v>6</v>
      </c>
      <c r="F10" s="6" t="s">
        <v>41</v>
      </c>
    </row>
    <row r="11">
      <c r="B11" s="8" t="s">
        <v>34</v>
      </c>
      <c r="C11" s="8">
        <v>3.0</v>
      </c>
      <c r="D11" s="9">
        <v>1.0</v>
      </c>
      <c r="E11" s="10">
        <f t="shared" si="1"/>
        <v>3</v>
      </c>
      <c r="F11" s="11"/>
    </row>
    <row r="12">
      <c r="D12" s="19" t="s">
        <v>19</v>
      </c>
      <c r="E12" s="17">
        <f>sum(E5:E11)</f>
        <v>89</v>
      </c>
    </row>
    <row r="16">
      <c r="F16" s="9" t="s">
        <v>42</v>
      </c>
    </row>
  </sheetData>
  <mergeCells count="1">
    <mergeCell ref="B3:F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88"/>
    <col customWidth="1" min="3" max="3" width="10.38"/>
    <col customWidth="1" min="4" max="4" width="5.63"/>
    <col customWidth="1" min="5" max="5" width="13.13"/>
    <col customWidth="1" min="6" max="6" width="53.5"/>
  </cols>
  <sheetData>
    <row r="3">
      <c r="B3" s="20" t="s">
        <v>43</v>
      </c>
      <c r="C3" s="2"/>
      <c r="D3" s="2"/>
      <c r="E3" s="2"/>
      <c r="F3" s="3"/>
    </row>
    <row r="4">
      <c r="B4" s="17" t="s">
        <v>1</v>
      </c>
      <c r="C4" s="17" t="s">
        <v>2</v>
      </c>
      <c r="D4" s="17" t="s">
        <v>3</v>
      </c>
      <c r="E4" s="17" t="s">
        <v>4</v>
      </c>
      <c r="F4" s="17" t="s">
        <v>5</v>
      </c>
    </row>
    <row r="5">
      <c r="B5" s="17" t="s">
        <v>6</v>
      </c>
      <c r="C5" s="17">
        <v>5.0</v>
      </c>
      <c r="D5" s="18">
        <v>5.0</v>
      </c>
      <c r="E5" s="17">
        <f t="shared" ref="E5:E11" si="1">C5*D5</f>
        <v>25</v>
      </c>
      <c r="F5" s="6" t="s">
        <v>44</v>
      </c>
    </row>
    <row r="6">
      <c r="B6" s="17" t="s">
        <v>8</v>
      </c>
      <c r="C6" s="18">
        <v>1.0</v>
      </c>
      <c r="D6" s="18">
        <v>3.0</v>
      </c>
      <c r="E6" s="17">
        <f t="shared" si="1"/>
        <v>3</v>
      </c>
      <c r="F6" s="6" t="s">
        <v>45</v>
      </c>
    </row>
    <row r="7">
      <c r="B7" s="17" t="s">
        <v>10</v>
      </c>
      <c r="C7" s="17">
        <v>5.0</v>
      </c>
      <c r="D7" s="18">
        <v>4.0</v>
      </c>
      <c r="E7" s="17">
        <f t="shared" si="1"/>
        <v>20</v>
      </c>
      <c r="F7" s="6" t="s">
        <v>46</v>
      </c>
    </row>
    <row r="8">
      <c r="B8" s="17" t="s">
        <v>12</v>
      </c>
      <c r="C8" s="18">
        <v>4.0</v>
      </c>
      <c r="D8" s="18">
        <v>3.0</v>
      </c>
      <c r="E8" s="17">
        <f t="shared" si="1"/>
        <v>12</v>
      </c>
      <c r="F8" s="6" t="s">
        <v>47</v>
      </c>
    </row>
    <row r="9">
      <c r="B9" s="17" t="s">
        <v>14</v>
      </c>
      <c r="C9" s="18">
        <v>2.0</v>
      </c>
      <c r="D9" s="18">
        <v>2.0</v>
      </c>
      <c r="E9" s="17">
        <f t="shared" si="1"/>
        <v>4</v>
      </c>
      <c r="F9" s="6" t="s">
        <v>48</v>
      </c>
    </row>
    <row r="10">
      <c r="B10" s="17" t="s">
        <v>16</v>
      </c>
      <c r="C10" s="18">
        <v>2.0</v>
      </c>
      <c r="D10" s="18">
        <v>2.0</v>
      </c>
      <c r="E10" s="17">
        <f t="shared" si="1"/>
        <v>4</v>
      </c>
      <c r="F10" s="6" t="s">
        <v>49</v>
      </c>
    </row>
    <row r="11">
      <c r="B11" s="8" t="s">
        <v>50</v>
      </c>
      <c r="C11" s="8">
        <v>3.0</v>
      </c>
      <c r="D11" s="9">
        <v>1.0</v>
      </c>
      <c r="E11" s="10">
        <f t="shared" si="1"/>
        <v>3</v>
      </c>
      <c r="F11" s="11"/>
    </row>
    <row r="12">
      <c r="D12" s="19" t="s">
        <v>19</v>
      </c>
      <c r="E12" s="17">
        <f>sum(E5:E11)</f>
        <v>71</v>
      </c>
    </row>
  </sheetData>
  <mergeCells count="1">
    <mergeCell ref="B3:F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0"/>
    <col customWidth="1" min="3" max="3" width="10.88"/>
    <col customWidth="1" min="4" max="4" width="5.63"/>
    <col customWidth="1" min="6" max="6" width="44.75"/>
  </cols>
  <sheetData>
    <row r="4">
      <c r="B4" s="21" t="s">
        <v>51</v>
      </c>
      <c r="C4" s="2"/>
      <c r="D4" s="2"/>
      <c r="E4" s="2"/>
      <c r="F4" s="3"/>
    </row>
    <row r="5">
      <c r="B5" s="22" t="s">
        <v>52</v>
      </c>
      <c r="C5" s="23" t="s">
        <v>53</v>
      </c>
      <c r="D5" s="23" t="s">
        <v>3</v>
      </c>
      <c r="E5" s="23" t="s">
        <v>4</v>
      </c>
      <c r="F5" s="22" t="s">
        <v>5</v>
      </c>
    </row>
    <row r="6">
      <c r="B6" s="22" t="s">
        <v>6</v>
      </c>
      <c r="C6" s="24">
        <v>5.0</v>
      </c>
      <c r="D6" s="24">
        <v>3.0</v>
      </c>
      <c r="E6" s="24">
        <f t="shared" ref="E6:E12" si="1">C6*D6</f>
        <v>15</v>
      </c>
      <c r="F6" s="22" t="s">
        <v>54</v>
      </c>
    </row>
    <row r="7">
      <c r="B7" s="22" t="s">
        <v>8</v>
      </c>
      <c r="C7" s="25">
        <v>1.0</v>
      </c>
      <c r="D7" s="24">
        <v>3.0</v>
      </c>
      <c r="E7" s="24">
        <f t="shared" si="1"/>
        <v>3</v>
      </c>
      <c r="F7" s="22" t="s">
        <v>55</v>
      </c>
    </row>
    <row r="8">
      <c r="B8" s="22" t="s">
        <v>56</v>
      </c>
      <c r="C8" s="24">
        <v>5.0</v>
      </c>
      <c r="D8" s="24">
        <v>5.0</v>
      </c>
      <c r="E8" s="24">
        <f t="shared" si="1"/>
        <v>25</v>
      </c>
      <c r="F8" s="22" t="s">
        <v>57</v>
      </c>
    </row>
    <row r="9">
      <c r="B9" s="22" t="s">
        <v>12</v>
      </c>
      <c r="C9" s="25">
        <v>4.0</v>
      </c>
      <c r="D9" s="24">
        <v>4.0</v>
      </c>
      <c r="E9" s="24">
        <f t="shared" si="1"/>
        <v>16</v>
      </c>
      <c r="F9" s="22" t="s">
        <v>58</v>
      </c>
    </row>
    <row r="10">
      <c r="B10" s="22" t="s">
        <v>59</v>
      </c>
      <c r="C10" s="25">
        <v>2.0</v>
      </c>
      <c r="D10" s="24">
        <v>5.0</v>
      </c>
      <c r="E10" s="24">
        <f t="shared" si="1"/>
        <v>10</v>
      </c>
      <c r="F10" s="22" t="s">
        <v>60</v>
      </c>
    </row>
    <row r="11">
      <c r="B11" s="22" t="s">
        <v>61</v>
      </c>
      <c r="C11" s="25">
        <v>2.0</v>
      </c>
      <c r="D11" s="24">
        <v>5.0</v>
      </c>
      <c r="E11" s="24">
        <f t="shared" si="1"/>
        <v>10</v>
      </c>
      <c r="F11" s="22" t="s">
        <v>62</v>
      </c>
    </row>
    <row r="12">
      <c r="B12" s="26" t="s">
        <v>34</v>
      </c>
      <c r="C12" s="27">
        <v>3.0</v>
      </c>
      <c r="D12" s="28">
        <v>1.0</v>
      </c>
      <c r="E12" s="28">
        <f t="shared" si="1"/>
        <v>3</v>
      </c>
      <c r="F12" s="26"/>
    </row>
    <row r="13">
      <c r="B13" s="26"/>
      <c r="C13" s="26"/>
      <c r="D13" s="22" t="s">
        <v>63</v>
      </c>
      <c r="E13" s="24">
        <f>SUM(E6:E12)</f>
        <v>82</v>
      </c>
      <c r="F13" s="26"/>
    </row>
  </sheetData>
  <mergeCells count="1">
    <mergeCell ref="B4:F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0"/>
    <col customWidth="1" min="4" max="4" width="10.88"/>
    <col customWidth="1" min="5" max="5" width="5.63"/>
    <col customWidth="1" min="6" max="6" width="13.13"/>
    <col customWidth="1" min="7" max="7" width="38.25"/>
  </cols>
  <sheetData>
    <row r="4">
      <c r="C4" s="21" t="s">
        <v>64</v>
      </c>
      <c r="D4" s="2"/>
      <c r="E4" s="2"/>
      <c r="F4" s="2"/>
      <c r="G4" s="3"/>
    </row>
    <row r="5">
      <c r="C5" s="22" t="s">
        <v>52</v>
      </c>
      <c r="D5" s="23" t="s">
        <v>53</v>
      </c>
      <c r="E5" s="23" t="s">
        <v>3</v>
      </c>
      <c r="F5" s="23" t="s">
        <v>4</v>
      </c>
      <c r="G5" s="22" t="s">
        <v>5</v>
      </c>
    </row>
    <row r="6">
      <c r="C6" s="22" t="s">
        <v>6</v>
      </c>
      <c r="D6" s="24">
        <v>5.0</v>
      </c>
      <c r="E6" s="24">
        <v>3.0</v>
      </c>
      <c r="F6" s="24">
        <f t="shared" ref="F6:F12" si="1">D6*E6</f>
        <v>15</v>
      </c>
      <c r="G6" s="22" t="s">
        <v>65</v>
      </c>
    </row>
    <row r="7">
      <c r="C7" s="22" t="s">
        <v>8</v>
      </c>
      <c r="D7" s="25">
        <v>1.0</v>
      </c>
      <c r="E7" s="24">
        <v>5.0</v>
      </c>
      <c r="F7" s="24">
        <f t="shared" si="1"/>
        <v>5</v>
      </c>
      <c r="G7" s="22" t="s">
        <v>66</v>
      </c>
    </row>
    <row r="8">
      <c r="C8" s="22" t="s">
        <v>56</v>
      </c>
      <c r="D8" s="24">
        <v>5.0</v>
      </c>
      <c r="E8" s="24">
        <v>4.0</v>
      </c>
      <c r="F8" s="24">
        <f t="shared" si="1"/>
        <v>20</v>
      </c>
      <c r="G8" s="22" t="s">
        <v>67</v>
      </c>
    </row>
    <row r="9">
      <c r="C9" s="22" t="s">
        <v>12</v>
      </c>
      <c r="D9" s="25">
        <v>4.0</v>
      </c>
      <c r="E9" s="24">
        <v>5.0</v>
      </c>
      <c r="F9" s="24">
        <f t="shared" si="1"/>
        <v>20</v>
      </c>
      <c r="G9" s="22" t="s">
        <v>68</v>
      </c>
    </row>
    <row r="10">
      <c r="C10" s="22" t="s">
        <v>59</v>
      </c>
      <c r="D10" s="25">
        <v>2.0</v>
      </c>
      <c r="E10" s="24">
        <v>5.0</v>
      </c>
      <c r="F10" s="24">
        <f t="shared" si="1"/>
        <v>10</v>
      </c>
      <c r="G10" s="22" t="s">
        <v>60</v>
      </c>
    </row>
    <row r="11">
      <c r="C11" s="22" t="s">
        <v>61</v>
      </c>
      <c r="D11" s="25">
        <v>2.0</v>
      </c>
      <c r="E11" s="24">
        <v>5.0</v>
      </c>
      <c r="F11" s="24">
        <f t="shared" si="1"/>
        <v>10</v>
      </c>
      <c r="G11" s="22" t="s">
        <v>69</v>
      </c>
    </row>
    <row r="12">
      <c r="C12" s="26" t="s">
        <v>34</v>
      </c>
      <c r="D12" s="27">
        <v>3.0</v>
      </c>
      <c r="E12" s="28">
        <v>1.0</v>
      </c>
      <c r="F12" s="28">
        <f t="shared" si="1"/>
        <v>3</v>
      </c>
      <c r="G12" s="26"/>
    </row>
    <row r="13">
      <c r="C13" s="11"/>
      <c r="D13" s="11"/>
      <c r="E13" s="22" t="s">
        <v>63</v>
      </c>
      <c r="F13" s="24">
        <f>SUM(F6:F12)</f>
        <v>83</v>
      </c>
      <c r="G13" s="11"/>
    </row>
  </sheetData>
  <mergeCells count="1">
    <mergeCell ref="C4:G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0"/>
    <col customWidth="1" min="4" max="4" width="10.88"/>
    <col customWidth="1" min="5" max="5" width="5.63"/>
    <col customWidth="1" min="6" max="6" width="13.13"/>
    <col customWidth="1" min="7" max="7" width="44.5"/>
  </cols>
  <sheetData>
    <row r="3">
      <c r="C3" s="29" t="s">
        <v>70</v>
      </c>
      <c r="D3" s="2"/>
      <c r="E3" s="2"/>
      <c r="F3" s="2"/>
      <c r="G3" s="3"/>
    </row>
    <row r="4">
      <c r="C4" s="22" t="s">
        <v>52</v>
      </c>
      <c r="D4" s="23" t="s">
        <v>53</v>
      </c>
      <c r="E4" s="23" t="s">
        <v>3</v>
      </c>
      <c r="F4" s="23" t="s">
        <v>4</v>
      </c>
      <c r="G4" s="22" t="s">
        <v>5</v>
      </c>
    </row>
    <row r="5">
      <c r="C5" s="22" t="s">
        <v>6</v>
      </c>
      <c r="D5" s="24">
        <v>5.0</v>
      </c>
      <c r="E5" s="25">
        <v>3.0</v>
      </c>
      <c r="F5" s="24">
        <f t="shared" ref="F5:F11" si="1">D5*E5</f>
        <v>15</v>
      </c>
      <c r="G5" s="30" t="s">
        <v>71</v>
      </c>
    </row>
    <row r="6">
      <c r="C6" s="22" t="s">
        <v>8</v>
      </c>
      <c r="D6" s="25">
        <v>1.0</v>
      </c>
      <c r="E6" s="25">
        <v>5.0</v>
      </c>
      <c r="F6" s="24">
        <f t="shared" si="1"/>
        <v>5</v>
      </c>
      <c r="G6" s="30" t="s">
        <v>72</v>
      </c>
    </row>
    <row r="7">
      <c r="C7" s="22" t="s">
        <v>56</v>
      </c>
      <c r="D7" s="24">
        <v>5.0</v>
      </c>
      <c r="E7" s="25">
        <v>5.0</v>
      </c>
      <c r="F7" s="24">
        <f t="shared" si="1"/>
        <v>25</v>
      </c>
      <c r="G7" s="30" t="s">
        <v>73</v>
      </c>
    </row>
    <row r="8">
      <c r="C8" s="22" t="s">
        <v>12</v>
      </c>
      <c r="D8" s="25">
        <v>4.0</v>
      </c>
      <c r="E8" s="25">
        <v>5.0</v>
      </c>
      <c r="F8" s="24">
        <f t="shared" si="1"/>
        <v>20</v>
      </c>
      <c r="G8" s="30" t="s">
        <v>74</v>
      </c>
    </row>
    <row r="9">
      <c r="C9" s="22" t="s">
        <v>59</v>
      </c>
      <c r="D9" s="25">
        <v>2.0</v>
      </c>
      <c r="E9" s="25">
        <v>4.0</v>
      </c>
      <c r="F9" s="24">
        <f t="shared" si="1"/>
        <v>8</v>
      </c>
      <c r="G9" s="22" t="s">
        <v>60</v>
      </c>
    </row>
    <row r="10">
      <c r="C10" s="22" t="s">
        <v>61</v>
      </c>
      <c r="D10" s="25">
        <v>2.0</v>
      </c>
      <c r="E10" s="25">
        <v>4.0</v>
      </c>
      <c r="F10" s="24">
        <f t="shared" si="1"/>
        <v>8</v>
      </c>
      <c r="G10" s="30" t="s">
        <v>75</v>
      </c>
    </row>
    <row r="11">
      <c r="C11" s="26" t="s">
        <v>34</v>
      </c>
      <c r="D11" s="27">
        <v>3.0</v>
      </c>
      <c r="E11" s="28">
        <v>1.0</v>
      </c>
      <c r="F11" s="28">
        <f t="shared" si="1"/>
        <v>3</v>
      </c>
      <c r="G11" s="26"/>
    </row>
    <row r="12">
      <c r="C12" s="11"/>
      <c r="D12" s="11"/>
      <c r="E12" s="22" t="s">
        <v>63</v>
      </c>
      <c r="F12" s="24">
        <f>SUM(F5:F11)</f>
        <v>84</v>
      </c>
      <c r="G12" s="11"/>
    </row>
  </sheetData>
  <mergeCells count="1">
    <mergeCell ref="C3:G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4.0"/>
    <col customWidth="1" min="8" max="8" width="87.88"/>
  </cols>
  <sheetData>
    <row r="6">
      <c r="D6" s="29" t="s">
        <v>76</v>
      </c>
      <c r="E6" s="2"/>
      <c r="F6" s="2"/>
      <c r="G6" s="2"/>
      <c r="H6" s="3"/>
    </row>
    <row r="7">
      <c r="D7" s="22" t="s">
        <v>52</v>
      </c>
      <c r="E7" s="23" t="s">
        <v>53</v>
      </c>
      <c r="F7" s="23" t="s">
        <v>3</v>
      </c>
      <c r="G7" s="23" t="s">
        <v>4</v>
      </c>
      <c r="H7" s="22" t="s">
        <v>5</v>
      </c>
    </row>
    <row r="8">
      <c r="D8" s="22" t="s">
        <v>6</v>
      </c>
      <c r="E8" s="24">
        <v>5.0</v>
      </c>
      <c r="F8" s="25">
        <v>5.0</v>
      </c>
      <c r="G8" s="24">
        <f t="shared" ref="G8:G14" si="1">E8*F8</f>
        <v>25</v>
      </c>
      <c r="H8" s="30" t="s">
        <v>77</v>
      </c>
    </row>
    <row r="9">
      <c r="D9" s="22" t="s">
        <v>8</v>
      </c>
      <c r="E9" s="25">
        <v>1.0</v>
      </c>
      <c r="F9" s="25">
        <v>5.0</v>
      </c>
      <c r="G9" s="24">
        <f t="shared" si="1"/>
        <v>5</v>
      </c>
      <c r="H9" s="30" t="s">
        <v>72</v>
      </c>
    </row>
    <row r="10">
      <c r="D10" s="22" t="s">
        <v>56</v>
      </c>
      <c r="E10" s="24">
        <v>5.0</v>
      </c>
      <c r="F10" s="25">
        <v>5.0</v>
      </c>
      <c r="G10" s="24">
        <f t="shared" si="1"/>
        <v>25</v>
      </c>
      <c r="H10" s="30" t="s">
        <v>78</v>
      </c>
    </row>
    <row r="11">
      <c r="D11" s="22" t="s">
        <v>12</v>
      </c>
      <c r="E11" s="25">
        <v>4.0</v>
      </c>
      <c r="F11" s="25">
        <v>5.0</v>
      </c>
      <c r="G11" s="24">
        <f t="shared" si="1"/>
        <v>20</v>
      </c>
      <c r="H11" s="30" t="s">
        <v>79</v>
      </c>
    </row>
    <row r="12">
      <c r="D12" s="22" t="s">
        <v>59</v>
      </c>
      <c r="E12" s="25">
        <v>2.0</v>
      </c>
      <c r="F12" s="25">
        <v>3.0</v>
      </c>
      <c r="G12" s="24">
        <f t="shared" si="1"/>
        <v>6</v>
      </c>
      <c r="H12" s="30" t="s">
        <v>80</v>
      </c>
    </row>
    <row r="13">
      <c r="D13" s="22" t="s">
        <v>61</v>
      </c>
      <c r="E13" s="25">
        <v>2.0</v>
      </c>
      <c r="F13" s="25">
        <v>4.0</v>
      </c>
      <c r="G13" s="24">
        <f t="shared" si="1"/>
        <v>8</v>
      </c>
      <c r="H13" s="30" t="s">
        <v>81</v>
      </c>
    </row>
    <row r="14">
      <c r="D14" s="26" t="s">
        <v>34</v>
      </c>
      <c r="E14" s="27">
        <v>3.0</v>
      </c>
      <c r="F14" s="28">
        <v>1.0</v>
      </c>
      <c r="G14" s="28">
        <f t="shared" si="1"/>
        <v>3</v>
      </c>
      <c r="H14" s="26"/>
    </row>
    <row r="15">
      <c r="D15" s="11"/>
      <c r="E15" s="11"/>
      <c r="F15" s="22" t="s">
        <v>63</v>
      </c>
      <c r="G15" s="24">
        <f>SUM(G8:G14)</f>
        <v>92</v>
      </c>
      <c r="H15" s="11"/>
    </row>
  </sheetData>
  <mergeCells count="1">
    <mergeCell ref="D6:H6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6.0"/>
    <col customWidth="1" min="4" max="4" width="6.13"/>
    <col customWidth="1" min="5" max="5" width="15.75"/>
    <col customWidth="1" min="6" max="6" width="12.88"/>
    <col customWidth="1" min="7" max="7" width="32.63"/>
  </cols>
  <sheetData>
    <row r="5">
      <c r="C5" s="31" t="s">
        <v>82</v>
      </c>
      <c r="D5" s="32"/>
      <c r="E5" s="32"/>
      <c r="F5" s="32"/>
      <c r="G5" s="33"/>
    </row>
    <row r="6">
      <c r="C6" s="34" t="s">
        <v>83</v>
      </c>
      <c r="D6" s="34" t="s">
        <v>84</v>
      </c>
      <c r="E6" s="34" t="s">
        <v>3</v>
      </c>
      <c r="F6" s="34" t="s">
        <v>4</v>
      </c>
      <c r="G6" s="34" t="s">
        <v>5</v>
      </c>
    </row>
    <row r="7">
      <c r="C7" s="35" t="s">
        <v>85</v>
      </c>
      <c r="D7" s="35">
        <v>5.0</v>
      </c>
      <c r="E7" s="35">
        <v>2.0</v>
      </c>
      <c r="F7" s="36">
        <f t="shared" ref="F7:F12" si="1">D7*E7</f>
        <v>10</v>
      </c>
      <c r="G7" s="35" t="s">
        <v>86</v>
      </c>
    </row>
    <row r="8">
      <c r="C8" s="35" t="s">
        <v>87</v>
      </c>
      <c r="D8" s="35">
        <v>3.0</v>
      </c>
      <c r="E8" s="35">
        <v>1.0</v>
      </c>
      <c r="F8" s="36">
        <f t="shared" si="1"/>
        <v>3</v>
      </c>
      <c r="G8" s="35" t="s">
        <v>88</v>
      </c>
    </row>
    <row r="9">
      <c r="C9" s="35" t="s">
        <v>89</v>
      </c>
      <c r="D9" s="35">
        <v>5.0</v>
      </c>
      <c r="E9" s="35">
        <v>2.0</v>
      </c>
      <c r="F9" s="36">
        <f t="shared" si="1"/>
        <v>10</v>
      </c>
      <c r="G9" s="35" t="s">
        <v>90</v>
      </c>
    </row>
    <row r="10" ht="15.0" customHeight="1">
      <c r="C10" s="35" t="s">
        <v>91</v>
      </c>
      <c r="D10" s="35">
        <v>1.0</v>
      </c>
      <c r="E10" s="35">
        <v>5.0</v>
      </c>
      <c r="F10" s="36">
        <f t="shared" si="1"/>
        <v>5</v>
      </c>
      <c r="G10" s="37" t="s">
        <v>92</v>
      </c>
    </row>
    <row r="11">
      <c r="C11" s="35" t="s">
        <v>93</v>
      </c>
      <c r="D11" s="35">
        <v>2.0</v>
      </c>
      <c r="E11" s="35">
        <v>3.0</v>
      </c>
      <c r="F11" s="36">
        <f t="shared" si="1"/>
        <v>6</v>
      </c>
      <c r="G11" s="35" t="s">
        <v>94</v>
      </c>
    </row>
    <row r="12">
      <c r="C12" s="35" t="s">
        <v>95</v>
      </c>
      <c r="D12" s="35">
        <v>5.0</v>
      </c>
      <c r="E12" s="35">
        <v>5.0</v>
      </c>
      <c r="F12" s="36">
        <f t="shared" si="1"/>
        <v>25</v>
      </c>
      <c r="G12" s="35" t="s">
        <v>96</v>
      </c>
    </row>
    <row r="13">
      <c r="E13" s="35" t="s">
        <v>63</v>
      </c>
      <c r="F13" s="36">
        <f>SUM(F6:F12)</f>
        <v>59</v>
      </c>
    </row>
    <row r="14">
      <c r="E14" s="35" t="s">
        <v>97</v>
      </c>
      <c r="F14" s="35">
        <v>105.0</v>
      </c>
    </row>
  </sheetData>
  <mergeCells count="1">
    <mergeCell ref="C5:G5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0"/>
    <col customWidth="1" min="5" max="5" width="6.13"/>
    <col customWidth="1" min="6" max="6" width="15.75"/>
    <col customWidth="1" min="7" max="7" width="12.88"/>
    <col customWidth="1" min="8" max="8" width="64.63"/>
  </cols>
  <sheetData>
    <row r="5">
      <c r="D5" s="31" t="s">
        <v>98</v>
      </c>
      <c r="E5" s="32"/>
      <c r="F5" s="32"/>
      <c r="G5" s="32"/>
      <c r="H5" s="33"/>
    </row>
    <row r="6">
      <c r="D6" s="34" t="s">
        <v>83</v>
      </c>
      <c r="E6" s="34" t="s">
        <v>84</v>
      </c>
      <c r="F6" s="34" t="s">
        <v>3</v>
      </c>
      <c r="G6" s="34" t="s">
        <v>4</v>
      </c>
      <c r="H6" s="34" t="s">
        <v>5</v>
      </c>
    </row>
    <row r="7">
      <c r="D7" s="35" t="s">
        <v>85</v>
      </c>
      <c r="E7" s="35">
        <v>5.0</v>
      </c>
      <c r="F7" s="35">
        <v>4.0</v>
      </c>
      <c r="G7" s="36">
        <f t="shared" ref="G7:G12" si="1">E7*F7</f>
        <v>20</v>
      </c>
      <c r="H7" s="35" t="s">
        <v>99</v>
      </c>
    </row>
    <row r="8">
      <c r="D8" s="35" t="s">
        <v>87</v>
      </c>
      <c r="E8" s="35">
        <v>3.0</v>
      </c>
      <c r="F8" s="35">
        <v>5.0</v>
      </c>
      <c r="G8" s="36">
        <f t="shared" si="1"/>
        <v>15</v>
      </c>
      <c r="H8" s="35" t="s">
        <v>100</v>
      </c>
    </row>
    <row r="9">
      <c r="D9" s="35" t="s">
        <v>89</v>
      </c>
      <c r="E9" s="35">
        <v>5.0</v>
      </c>
      <c r="F9" s="35">
        <v>4.0</v>
      </c>
      <c r="G9" s="36">
        <f t="shared" si="1"/>
        <v>20</v>
      </c>
      <c r="H9" s="35" t="s">
        <v>101</v>
      </c>
    </row>
    <row r="10">
      <c r="D10" s="35" t="s">
        <v>91</v>
      </c>
      <c r="E10" s="35">
        <v>1.0</v>
      </c>
      <c r="F10" s="35">
        <v>5.0</v>
      </c>
      <c r="G10" s="36">
        <f t="shared" si="1"/>
        <v>5</v>
      </c>
      <c r="H10" s="37" t="s">
        <v>102</v>
      </c>
    </row>
    <row r="11">
      <c r="D11" s="35" t="s">
        <v>93</v>
      </c>
      <c r="E11" s="35">
        <v>2.0</v>
      </c>
      <c r="F11" s="35">
        <v>4.0</v>
      </c>
      <c r="G11" s="36">
        <f t="shared" si="1"/>
        <v>8</v>
      </c>
      <c r="H11" s="35" t="s">
        <v>101</v>
      </c>
    </row>
    <row r="12">
      <c r="D12" s="35" t="s">
        <v>95</v>
      </c>
      <c r="E12" s="35">
        <v>5.0</v>
      </c>
      <c r="F12" s="35">
        <v>4.0</v>
      </c>
      <c r="G12" s="36">
        <f t="shared" si="1"/>
        <v>20</v>
      </c>
      <c r="H12" s="35" t="s">
        <v>103</v>
      </c>
    </row>
    <row r="13">
      <c r="F13" s="35" t="s">
        <v>63</v>
      </c>
      <c r="G13" s="36">
        <f>SUM(G6:G12)</f>
        <v>88</v>
      </c>
    </row>
    <row r="14">
      <c r="F14" s="35" t="s">
        <v>97</v>
      </c>
      <c r="G14" s="35">
        <v>105.0</v>
      </c>
    </row>
  </sheetData>
  <mergeCells count="1">
    <mergeCell ref="D5:H5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0"/>
    <col customWidth="1" min="4" max="4" width="6.13"/>
    <col customWidth="1" min="5" max="5" width="15.75"/>
    <col customWidth="1" min="7" max="7" width="20.38"/>
  </cols>
  <sheetData>
    <row r="5">
      <c r="C5" s="31" t="s">
        <v>104</v>
      </c>
      <c r="D5" s="32"/>
      <c r="E5" s="32"/>
      <c r="F5" s="32"/>
      <c r="G5" s="33"/>
    </row>
    <row r="6">
      <c r="C6" s="34" t="s">
        <v>83</v>
      </c>
      <c r="D6" s="34" t="s">
        <v>84</v>
      </c>
      <c r="E6" s="34" t="s">
        <v>3</v>
      </c>
      <c r="F6" s="34" t="s">
        <v>4</v>
      </c>
      <c r="G6" s="34" t="s">
        <v>5</v>
      </c>
    </row>
    <row r="7">
      <c r="C7" s="35" t="s">
        <v>85</v>
      </c>
      <c r="D7" s="35">
        <v>5.0</v>
      </c>
      <c r="E7" s="35">
        <v>4.0</v>
      </c>
      <c r="F7" s="36">
        <f t="shared" ref="F7:F12" si="1">D7*E7</f>
        <v>20</v>
      </c>
      <c r="G7" s="35" t="s">
        <v>105</v>
      </c>
    </row>
    <row r="8">
      <c r="C8" s="35" t="s">
        <v>87</v>
      </c>
      <c r="D8" s="35">
        <v>3.0</v>
      </c>
      <c r="E8" s="35">
        <v>3.0</v>
      </c>
      <c r="F8" s="36">
        <f t="shared" si="1"/>
        <v>9</v>
      </c>
      <c r="G8" s="35" t="s">
        <v>106</v>
      </c>
    </row>
    <row r="9">
      <c r="C9" s="35" t="s">
        <v>89</v>
      </c>
      <c r="D9" s="35">
        <v>5.0</v>
      </c>
      <c r="E9" s="35">
        <v>4.0</v>
      </c>
      <c r="F9" s="36">
        <f t="shared" si="1"/>
        <v>20</v>
      </c>
      <c r="G9" s="35"/>
    </row>
    <row r="10">
      <c r="C10" s="35" t="s">
        <v>91</v>
      </c>
      <c r="D10" s="35">
        <v>1.0</v>
      </c>
      <c r="E10" s="35">
        <v>5.0</v>
      </c>
      <c r="F10" s="36">
        <f t="shared" si="1"/>
        <v>5</v>
      </c>
      <c r="G10" s="37" t="s">
        <v>107</v>
      </c>
    </row>
    <row r="11">
      <c r="C11" s="35" t="s">
        <v>93</v>
      </c>
      <c r="D11" s="35">
        <v>2.0</v>
      </c>
      <c r="E11" s="35">
        <v>5.0</v>
      </c>
      <c r="F11" s="36">
        <f t="shared" si="1"/>
        <v>10</v>
      </c>
      <c r="G11" s="35"/>
    </row>
    <row r="12">
      <c r="C12" s="35" t="s">
        <v>95</v>
      </c>
      <c r="D12" s="35">
        <v>5.0</v>
      </c>
      <c r="E12" s="35">
        <v>4.0</v>
      </c>
      <c r="F12" s="36">
        <f t="shared" si="1"/>
        <v>20</v>
      </c>
      <c r="G12" s="35"/>
    </row>
    <row r="13">
      <c r="E13" s="35" t="s">
        <v>63</v>
      </c>
      <c r="F13" s="36">
        <f>SUM(F6:F12)</f>
        <v>84</v>
      </c>
    </row>
    <row r="14">
      <c r="E14" s="35" t="s">
        <v>97</v>
      </c>
      <c r="F14" s="35">
        <v>105.0</v>
      </c>
    </row>
  </sheetData>
  <mergeCells count="1">
    <mergeCell ref="C5:G5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0"/>
    <col customWidth="1" min="5" max="5" width="10.63"/>
    <col customWidth="1" min="6" max="6" width="12.88"/>
    <col customWidth="1" min="7" max="7" width="7.88"/>
    <col customWidth="1" min="9" max="9" width="10.13"/>
  </cols>
  <sheetData>
    <row r="6">
      <c r="C6" s="31" t="s">
        <v>108</v>
      </c>
      <c r="D6" s="32"/>
      <c r="E6" s="31" t="s">
        <v>109</v>
      </c>
      <c r="F6" s="33"/>
      <c r="G6" s="31" t="s">
        <v>98</v>
      </c>
      <c r="H6" s="33"/>
      <c r="I6" s="31" t="s">
        <v>104</v>
      </c>
      <c r="J6" s="33"/>
    </row>
    <row r="7">
      <c r="C7" s="34" t="s">
        <v>83</v>
      </c>
      <c r="D7" s="34" t="s">
        <v>84</v>
      </c>
      <c r="E7" s="34" t="s">
        <v>3</v>
      </c>
      <c r="F7" s="34" t="s">
        <v>4</v>
      </c>
      <c r="G7" s="34" t="s">
        <v>3</v>
      </c>
      <c r="H7" s="34" t="s">
        <v>4</v>
      </c>
      <c r="I7" s="34" t="s">
        <v>3</v>
      </c>
      <c r="J7" s="34" t="s">
        <v>4</v>
      </c>
    </row>
    <row r="8">
      <c r="C8" s="35" t="s">
        <v>85</v>
      </c>
      <c r="D8" s="35">
        <v>5.0</v>
      </c>
      <c r="E8" s="35">
        <v>2.0</v>
      </c>
      <c r="F8" s="36">
        <f t="shared" ref="F8:F13" si="1">D8*E8</f>
        <v>10</v>
      </c>
      <c r="G8" s="35">
        <v>4.0</v>
      </c>
      <c r="H8" s="36">
        <f t="shared" ref="H8:H13" si="2">G8*D8</f>
        <v>20</v>
      </c>
      <c r="I8" s="35">
        <v>4.0</v>
      </c>
      <c r="J8" s="36">
        <f t="shared" ref="J8:J13" si="3">I8*D8</f>
        <v>20</v>
      </c>
    </row>
    <row r="9">
      <c r="C9" s="35" t="s">
        <v>87</v>
      </c>
      <c r="D9" s="35">
        <v>3.0</v>
      </c>
      <c r="E9" s="35">
        <v>1.0</v>
      </c>
      <c r="F9" s="36">
        <f t="shared" si="1"/>
        <v>3</v>
      </c>
      <c r="G9" s="35">
        <v>5.0</v>
      </c>
      <c r="H9" s="36">
        <f t="shared" si="2"/>
        <v>15</v>
      </c>
      <c r="I9" s="35">
        <v>3.0</v>
      </c>
      <c r="J9" s="36">
        <f t="shared" si="3"/>
        <v>9</v>
      </c>
    </row>
    <row r="10">
      <c r="C10" s="35" t="s">
        <v>89</v>
      </c>
      <c r="D10" s="35">
        <v>5.0</v>
      </c>
      <c r="E10" s="35">
        <v>2.0</v>
      </c>
      <c r="F10" s="36">
        <f t="shared" si="1"/>
        <v>10</v>
      </c>
      <c r="G10" s="35">
        <v>4.0</v>
      </c>
      <c r="H10" s="36">
        <f t="shared" si="2"/>
        <v>20</v>
      </c>
      <c r="I10" s="35">
        <v>4.0</v>
      </c>
      <c r="J10" s="36">
        <f t="shared" si="3"/>
        <v>20</v>
      </c>
    </row>
    <row r="11">
      <c r="C11" s="35" t="s">
        <v>91</v>
      </c>
      <c r="D11" s="35">
        <v>1.0</v>
      </c>
      <c r="E11" s="35">
        <v>5.0</v>
      </c>
      <c r="F11" s="36">
        <f t="shared" si="1"/>
        <v>5</v>
      </c>
      <c r="G11" s="35">
        <v>5.0</v>
      </c>
      <c r="H11" s="36">
        <f t="shared" si="2"/>
        <v>5</v>
      </c>
      <c r="I11" s="35">
        <v>5.0</v>
      </c>
      <c r="J11" s="36">
        <f t="shared" si="3"/>
        <v>5</v>
      </c>
    </row>
    <row r="12">
      <c r="C12" s="35" t="s">
        <v>93</v>
      </c>
      <c r="D12" s="35">
        <v>2.0</v>
      </c>
      <c r="E12" s="35">
        <v>3.0</v>
      </c>
      <c r="F12" s="36">
        <f t="shared" si="1"/>
        <v>6</v>
      </c>
      <c r="G12" s="35">
        <v>4.0</v>
      </c>
      <c r="H12" s="36">
        <f t="shared" si="2"/>
        <v>8</v>
      </c>
      <c r="I12" s="35">
        <v>5.0</v>
      </c>
      <c r="J12" s="36">
        <f t="shared" si="3"/>
        <v>10</v>
      </c>
    </row>
    <row r="13">
      <c r="C13" s="35" t="s">
        <v>95</v>
      </c>
      <c r="D13" s="35">
        <v>5.0</v>
      </c>
      <c r="E13" s="35">
        <v>5.0</v>
      </c>
      <c r="F13" s="36">
        <f t="shared" si="1"/>
        <v>25</v>
      </c>
      <c r="G13" s="35">
        <v>4.0</v>
      </c>
      <c r="H13" s="36">
        <f t="shared" si="2"/>
        <v>20</v>
      </c>
      <c r="I13" s="35">
        <v>4.0</v>
      </c>
      <c r="J13" s="36">
        <f t="shared" si="3"/>
        <v>20</v>
      </c>
    </row>
    <row r="14">
      <c r="C14" s="38" t="s">
        <v>110</v>
      </c>
      <c r="D14" s="35">
        <v>105.0</v>
      </c>
      <c r="E14" s="38" t="s">
        <v>19</v>
      </c>
      <c r="F14" s="36">
        <f>SUM(F7:F13)</f>
        <v>59</v>
      </c>
      <c r="G14" s="38" t="s">
        <v>19</v>
      </c>
      <c r="H14" s="36">
        <f>SUM(H7:H13)</f>
        <v>88</v>
      </c>
      <c r="I14" s="38" t="s">
        <v>19</v>
      </c>
      <c r="J14" s="36">
        <f>SUM(J7:J13)</f>
        <v>84</v>
      </c>
    </row>
    <row r="15">
      <c r="E15" s="9"/>
      <c r="F15" s="9"/>
      <c r="G15" s="9"/>
      <c r="H15" s="9"/>
    </row>
  </sheetData>
  <mergeCells count="4">
    <mergeCell ref="C6:D6"/>
    <mergeCell ref="E6:F6"/>
    <mergeCell ref="G6:H6"/>
    <mergeCell ref="I6:J6"/>
  </mergeCells>
  <drawing r:id="rId1"/>
</worksheet>
</file>