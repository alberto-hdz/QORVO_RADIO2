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<sst xmlns="http://schemas.openxmlformats.org/spreadsheetml/2006/main" count="62" uniqueCount="22">
  <si>
    <t>DAC</t>
  </si>
  <si>
    <t>TAD5242</t>
  </si>
  <si>
    <t>ADS1115</t>
  </si>
  <si>
    <t>Speaker</t>
  </si>
  <si>
    <t>FR 8 WP</t>
  </si>
  <si>
    <t>K 50 WP</t>
  </si>
  <si>
    <t>Section Criteria/Category</t>
  </si>
  <si>
    <t>Weight (1-5)</t>
  </si>
  <si>
    <t>Score</t>
  </si>
  <si>
    <t>Weighted Score</t>
  </si>
  <si>
    <t>Weight</t>
  </si>
  <si>
    <t>Cost</t>
  </si>
  <si>
    <t>Power Supply Required (V)</t>
  </si>
  <si>
    <t>Estimate Battery Life</t>
  </si>
  <si>
    <t>Lead Tme</t>
  </si>
  <si>
    <t>Estimated weight (&lt; 0.5 lbs)</t>
  </si>
  <si>
    <t>Estimated size (3"x3"x3")</t>
  </si>
  <si>
    <t>Total:</t>
  </si>
  <si>
    <t>Author: Luke M.</t>
  </si>
  <si>
    <t>TAS2764</t>
  </si>
  <si>
    <t>9/17/2025 11:00 PM - 11:15 PM</t>
  </si>
  <si>
    <t>9/21/2025 2:45 PM - 3:45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</si>
</sst>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4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4" fillId="0" fontId="1" numFmtId="0" xfId="0" applyAlignment="1" applyBorder="1" applyFont="1">
      <alignment horizontal="right"/>
    </xf>
    <xf borderId="4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10.38"/>
    <col customWidth="1" min="4" max="4" width="8.25"/>
    <col customWidth="1" min="5" max="5" width="13.13"/>
    <col customWidth="1" min="6" max="6" width="8.25"/>
    <col customWidth="1" min="7" max="7" width="6.38"/>
    <col customWidth="1" min="8" max="8" width="9.75"/>
    <col customWidth="1" min="9" max="9" width="6.38"/>
    <col customWidth="1" min="10" max="10" width="21.88"/>
    <col customWidth="1" min="16" max="16" width="21.88"/>
  </cols>
  <sheetData>
    <row r="2">
      <c r="B2" s="1" t="s">
        <v>0</v>
      </c>
      <c r="C2" s="2"/>
      <c r="D2" s="1" t="s">
        <v>1</v>
      </c>
      <c r="E2" s="3"/>
      <c r="F2" s="4" t="s">
        <v>2</v>
      </c>
      <c r="G2" s="3"/>
      <c r="H2" s="5"/>
      <c r="J2" s="1" t="s">
        <v>0</v>
      </c>
      <c r="K2" s="2"/>
      <c r="L2" s="1" t="s">
        <v>1</v>
      </c>
      <c r="M2" s="3"/>
      <c r="N2" s="6"/>
      <c r="P2" s="1" t="s">
        <v>3</v>
      </c>
      <c r="Q2" s="2"/>
      <c r="R2" s="1" t="s">
        <v>4</v>
      </c>
      <c r="S2" s="3"/>
      <c r="T2" s="1" t="s">
        <v>5</v>
      </c>
      <c r="U2" s="3"/>
    </row>
    <row r="3">
      <c r="B3" s="7" t="s">
        <v>6</v>
      </c>
      <c r="C3" s="7" t="s">
        <v>7</v>
      </c>
      <c r="D3" s="8" t="s">
        <v>8</v>
      </c>
      <c r="E3" s="8" t="s">
        <v>9</v>
      </c>
      <c r="F3" s="7" t="s">
        <v>8</v>
      </c>
      <c r="G3" s="9" t="s">
        <v>10</v>
      </c>
      <c r="H3" s="5"/>
      <c r="I3" s="10"/>
      <c r="J3" s="7" t="s">
        <v>6</v>
      </c>
      <c r="K3" s="7" t="s">
        <v>7</v>
      </c>
      <c r="L3" s="8" t="s">
        <v>8</v>
      </c>
      <c r="M3" s="7" t="s">
        <v>9</v>
      </c>
      <c r="N3" s="5"/>
      <c r="O3" s="10"/>
      <c r="P3" s="7" t="s">
        <v>6</v>
      </c>
      <c r="Q3" s="7" t="s">
        <v>7</v>
      </c>
      <c r="R3" s="8" t="s">
        <v>8</v>
      </c>
      <c r="S3" s="7" t="s">
        <v>9</v>
      </c>
      <c r="T3" s="8" t="s">
        <v>8</v>
      </c>
      <c r="U3" s="7" t="s">
        <v>9</v>
      </c>
    </row>
    <row r="4">
      <c r="B4" s="7" t="s">
        <v>11</v>
      </c>
      <c r="C4" s="7">
        <v>1.0</v>
      </c>
      <c r="D4" s="11">
        <v>5.0</v>
      </c>
      <c r="E4" s="7">
        <f t="shared" ref="E4:E9" si="1">C4*D4</f>
        <v>5</v>
      </c>
      <c r="F4" s="12">
        <v>5.0</v>
      </c>
      <c r="G4" s="13">
        <f t="shared" ref="G4:G9" si="2">C4*F4</f>
        <v>5</v>
      </c>
      <c r="H4" s="14"/>
      <c r="I4" s="14"/>
      <c r="J4" s="7" t="s">
        <v>11</v>
      </c>
      <c r="K4" s="7">
        <v>1.0</v>
      </c>
      <c r="L4" s="11">
        <v>5.0</v>
      </c>
      <c r="M4" s="7">
        <f t="shared" ref="M4:M9" si="3">K4*L4</f>
        <v>5</v>
      </c>
      <c r="N4" s="15"/>
      <c r="O4" s="14"/>
      <c r="P4" s="7" t="s">
        <v>11</v>
      </c>
      <c r="Q4" s="7">
        <v>1.0</v>
      </c>
      <c r="R4" s="11">
        <v>3.0</v>
      </c>
      <c r="S4" s="7">
        <f t="shared" ref="S4:S9" si="4">Q4*R4</f>
        <v>3</v>
      </c>
      <c r="T4" s="11">
        <v>5.0</v>
      </c>
      <c r="U4" s="7">
        <f t="shared" ref="U4:U9" si="5">T4*Q4</f>
        <v>5</v>
      </c>
    </row>
    <row r="5">
      <c r="B5" s="7" t="s">
        <v>12</v>
      </c>
      <c r="C5" s="7">
        <v>3.0</v>
      </c>
      <c r="D5" s="11">
        <v>5.0</v>
      </c>
      <c r="E5" s="7">
        <f t="shared" si="1"/>
        <v>15</v>
      </c>
      <c r="F5" s="12">
        <v>5.0</v>
      </c>
      <c r="G5" s="13">
        <f t="shared" si="2"/>
        <v>15</v>
      </c>
      <c r="H5" s="14"/>
      <c r="I5" s="14"/>
      <c r="J5" s="7" t="s">
        <v>12</v>
      </c>
      <c r="K5" s="7">
        <v>3.0</v>
      </c>
      <c r="L5" s="11">
        <v>5.0</v>
      </c>
      <c r="M5" s="7">
        <f t="shared" si="3"/>
        <v>15</v>
      </c>
      <c r="N5" s="15"/>
      <c r="O5" s="14"/>
      <c r="P5" s="7" t="s">
        <v>12</v>
      </c>
      <c r="Q5" s="7">
        <v>3.0</v>
      </c>
      <c r="R5" s="11">
        <v>5.0</v>
      </c>
      <c r="S5" s="7">
        <f t="shared" si="4"/>
        <v>15</v>
      </c>
      <c r="T5" s="11">
        <v>5.0</v>
      </c>
      <c r="U5" s="7">
        <f t="shared" si="5"/>
        <v>15</v>
      </c>
    </row>
    <row r="6">
      <c r="B6" s="7" t="s">
        <v>13</v>
      </c>
      <c r="C6" s="7">
        <v>5.0</v>
      </c>
      <c r="D6" s="11">
        <v>3.0</v>
      </c>
      <c r="E6" s="7">
        <f t="shared" si="1"/>
        <v>15</v>
      </c>
      <c r="F6" s="11">
        <v>5.0</v>
      </c>
      <c r="G6" s="13">
        <f t="shared" si="2"/>
        <v>25</v>
      </c>
      <c r="H6" s="5"/>
      <c r="I6" s="14"/>
      <c r="J6" s="7" t="s">
        <v>13</v>
      </c>
      <c r="K6" s="7">
        <v>5.0</v>
      </c>
      <c r="L6" s="11">
        <v>4.0</v>
      </c>
      <c r="M6" s="7">
        <f t="shared" si="3"/>
        <v>20</v>
      </c>
      <c r="N6" s="6"/>
      <c r="O6" s="14"/>
      <c r="P6" s="7" t="s">
        <v>13</v>
      </c>
      <c r="Q6" s="7">
        <v>5.0</v>
      </c>
      <c r="R6" s="11">
        <v>5.0</v>
      </c>
      <c r="S6" s="7">
        <f t="shared" si="4"/>
        <v>25</v>
      </c>
      <c r="T6" s="11">
        <v>5.0</v>
      </c>
      <c r="U6" s="7">
        <f t="shared" si="5"/>
        <v>25</v>
      </c>
    </row>
    <row r="7">
      <c r="B7" s="7" t="s">
        <v>14</v>
      </c>
      <c r="C7" s="7">
        <v>2.0</v>
      </c>
      <c r="D7" s="11">
        <v>1.0</v>
      </c>
      <c r="E7" s="7">
        <f t="shared" si="1"/>
        <v>2</v>
      </c>
      <c r="F7" s="12">
        <v>3.0</v>
      </c>
      <c r="G7" s="13">
        <f t="shared" si="2"/>
        <v>6</v>
      </c>
      <c r="H7" s="14"/>
      <c r="I7" s="14"/>
      <c r="J7" s="7" t="s">
        <v>14</v>
      </c>
      <c r="K7" s="7">
        <v>2.0</v>
      </c>
      <c r="L7" s="11">
        <v>3.0</v>
      </c>
      <c r="M7" s="7">
        <f t="shared" si="3"/>
        <v>6</v>
      </c>
      <c r="N7" s="15"/>
      <c r="O7" s="14"/>
      <c r="P7" s="7" t="s">
        <v>14</v>
      </c>
      <c r="Q7" s="7">
        <v>2.0</v>
      </c>
      <c r="R7" s="11">
        <v>3.0</v>
      </c>
      <c r="S7" s="7">
        <f t="shared" si="4"/>
        <v>6</v>
      </c>
      <c r="T7" s="11">
        <v>3.0</v>
      </c>
      <c r="U7" s="7">
        <f t="shared" si="5"/>
        <v>6</v>
      </c>
    </row>
    <row r="8">
      <c r="B8" s="7" t="s">
        <v>15</v>
      </c>
      <c r="C8" s="7">
        <v>4.0</v>
      </c>
      <c r="D8" s="11">
        <v>5.0</v>
      </c>
      <c r="E8" s="7">
        <f t="shared" si="1"/>
        <v>20</v>
      </c>
      <c r="F8" s="11">
        <v>5.0</v>
      </c>
      <c r="G8" s="13">
        <f t="shared" si="2"/>
        <v>20</v>
      </c>
      <c r="H8" s="5"/>
      <c r="I8" s="14"/>
      <c r="J8" s="7" t="s">
        <v>15</v>
      </c>
      <c r="K8" s="7">
        <v>4.0</v>
      </c>
      <c r="L8" s="11">
        <v>5.0</v>
      </c>
      <c r="M8" s="7">
        <f t="shared" si="3"/>
        <v>20</v>
      </c>
      <c r="N8" s="6"/>
      <c r="O8" s="14"/>
      <c r="P8" s="7" t="s">
        <v>15</v>
      </c>
      <c r="Q8" s="7">
        <v>4.0</v>
      </c>
      <c r="R8" s="11">
        <v>1.0</v>
      </c>
      <c r="S8" s="7">
        <f t="shared" si="4"/>
        <v>4</v>
      </c>
      <c r="T8" s="11">
        <v>4.0</v>
      </c>
      <c r="U8" s="7">
        <f t="shared" si="5"/>
        <v>16</v>
      </c>
    </row>
    <row r="9">
      <c r="B9" s="7" t="s">
        <v>16</v>
      </c>
      <c r="C9" s="7">
        <v>4.0</v>
      </c>
      <c r="D9" s="11">
        <v>3.0</v>
      </c>
      <c r="E9" s="7">
        <f t="shared" si="1"/>
        <v>12</v>
      </c>
      <c r="F9" s="11">
        <v>5.0</v>
      </c>
      <c r="G9" s="13">
        <f t="shared" si="2"/>
        <v>20</v>
      </c>
      <c r="H9" s="5"/>
      <c r="I9" s="14"/>
      <c r="J9" s="7" t="s">
        <v>16</v>
      </c>
      <c r="K9" s="7">
        <v>4.0</v>
      </c>
      <c r="L9" s="11">
        <v>5.0</v>
      </c>
      <c r="M9" s="7">
        <f t="shared" si="3"/>
        <v>20</v>
      </c>
      <c r="N9" s="6"/>
      <c r="O9" s="14"/>
      <c r="P9" s="7" t="s">
        <v>16</v>
      </c>
      <c r="Q9" s="7">
        <v>4.0</v>
      </c>
      <c r="R9" s="11">
        <v>5.0</v>
      </c>
      <c r="S9" s="7">
        <f t="shared" si="4"/>
        <v>20</v>
      </c>
      <c r="T9" s="11">
        <v>5.0</v>
      </c>
      <c r="U9" s="7">
        <f t="shared" si="5"/>
        <v>20</v>
      </c>
    </row>
    <row r="10">
      <c r="B10" s="10"/>
      <c r="C10" s="10"/>
      <c r="D10" s="16" t="s">
        <v>17</v>
      </c>
      <c r="E10" s="7">
        <f>sum(E4:E9)</f>
        <v>69</v>
      </c>
      <c r="F10" s="17" t="s">
        <v>17</v>
      </c>
      <c r="G10" s="13">
        <f>sum(G4:G9)</f>
        <v>91</v>
      </c>
      <c r="H10" s="18"/>
      <c r="I10" s="14"/>
      <c r="J10" s="10"/>
      <c r="K10" s="10"/>
      <c r="L10" s="16" t="s">
        <v>17</v>
      </c>
      <c r="M10" s="7">
        <f>sum(M4:M9)</f>
        <v>86</v>
      </c>
      <c r="N10" s="18"/>
      <c r="O10" s="14"/>
      <c r="P10" s="10"/>
      <c r="Q10" s="10"/>
      <c r="R10" s="16" t="s">
        <v>17</v>
      </c>
      <c r="S10" s="7">
        <f>sum(S4:S9)</f>
        <v>73</v>
      </c>
      <c r="T10" s="16" t="s">
        <v>17</v>
      </c>
      <c r="U10" s="7">
        <f>sum(U4:U9)</f>
        <v>87</v>
      </c>
    </row>
    <row r="13">
      <c r="B13" s="19" t="s">
        <v>18</v>
      </c>
      <c r="J13" s="1" t="s">
        <v>19</v>
      </c>
      <c r="K13" s="2"/>
      <c r="L13" s="2"/>
      <c r="M13" s="3"/>
    </row>
    <row r="14">
      <c r="B14" s="19" t="s">
        <v>20</v>
      </c>
      <c r="J14" s="7" t="s">
        <v>6</v>
      </c>
      <c r="K14" s="7" t="s">
        <v>7</v>
      </c>
      <c r="L14" s="8" t="s">
        <v>8</v>
      </c>
      <c r="M14" s="7" t="s">
        <v>9</v>
      </c>
    </row>
    <row r="15">
      <c r="B15" s="19" t="s">
        <v>21</v>
      </c>
      <c r="J15" s="7" t="s">
        <v>11</v>
      </c>
      <c r="K15" s="7">
        <v>1.0</v>
      </c>
      <c r="L15" s="11">
        <v>5.0</v>
      </c>
      <c r="M15" s="7">
        <f t="shared" ref="M15:M20" si="6">K15*L15</f>
        <v>5</v>
      </c>
    </row>
    <row r="16">
      <c r="J16" s="7" t="s">
        <v>12</v>
      </c>
      <c r="K16" s="7">
        <v>3.0</v>
      </c>
      <c r="L16" s="11">
        <v>3.0</v>
      </c>
      <c r="M16" s="7">
        <f t="shared" si="6"/>
        <v>9</v>
      </c>
    </row>
    <row r="17">
      <c r="J17" s="7" t="s">
        <v>13</v>
      </c>
      <c r="K17" s="7">
        <v>5.0</v>
      </c>
      <c r="L17" s="11">
        <v>1.0</v>
      </c>
      <c r="M17" s="7">
        <f t="shared" si="6"/>
        <v>5</v>
      </c>
    </row>
    <row r="18">
      <c r="J18" s="7" t="s">
        <v>14</v>
      </c>
      <c r="K18" s="7">
        <v>2.0</v>
      </c>
      <c r="L18" s="11">
        <v>3.0</v>
      </c>
      <c r="M18" s="7">
        <f t="shared" si="6"/>
        <v>6</v>
      </c>
    </row>
    <row r="19">
      <c r="J19" s="7" t="s">
        <v>15</v>
      </c>
      <c r="K19" s="7">
        <v>4.0</v>
      </c>
      <c r="L19" s="11">
        <v>5.0</v>
      </c>
      <c r="M19" s="7">
        <f t="shared" si="6"/>
        <v>20</v>
      </c>
    </row>
    <row r="20">
      <c r="J20" s="7" t="s">
        <v>16</v>
      </c>
      <c r="K20" s="7">
        <v>4.0</v>
      </c>
      <c r="L20" s="11">
        <v>5.0</v>
      </c>
      <c r="M20" s="7">
        <f t="shared" si="6"/>
        <v>20</v>
      </c>
    </row>
    <row r="21">
      <c r="J21" s="10"/>
      <c r="K21" s="10"/>
      <c r="L21" s="16" t="s">
        <v>17</v>
      </c>
      <c r="M21" s="7">
        <f>sum(M15:M20)</f>
        <v>65</v>
      </c>
    </row>
  </sheetData>
  <mergeCells count="11">
    <mergeCell ref="P2:Q2"/>
    <mergeCell ref="R2:S2"/>
    <mergeCell ref="T2:U2"/>
    <mergeCell ref="J13:M13"/>
    <mergeCell ref="B2:C2"/>
    <mergeCell ref="D2:E2"/>
    <mergeCell ref="F2:G2"/>
    <mergeCell ref="H2:I2"/>
    <mergeCell ref="J2:K2"/>
    <mergeCell ref="L2:M2"/>
    <mergeCell ref="N2:O2"/>
  </mergeCells>
  <drawing r:id="rId1"/>
</worksheet>
</file>