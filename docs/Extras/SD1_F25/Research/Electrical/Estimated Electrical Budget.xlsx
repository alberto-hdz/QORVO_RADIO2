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<sst xmlns="http://schemas.openxmlformats.org/spreadsheetml/2006/main" count="36" uniqueCount="30">
  <si>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Device</t>
  </si>
  <si>
    <t>Price</t>
  </si>
  <si>
    <t>Lead Time</t>
  </si>
  <si>
    <t>Amount</t>
  </si>
  <si>
    <t>Total Cost</t>
  </si>
  <si>
    <t>Apply a 20% saftey factor to price</t>
  </si>
  <si>
    <t>Doorbell</t>
  </si>
  <si>
    <t>1 Week</t>
  </si>
  <si>
    <t>Ultrasonic Sensor</t>
  </si>
  <si>
    <t>2 Weeks</t>
  </si>
  <si>
    <t>LED Strip</t>
  </si>
  <si>
    <t>Microphone</t>
  </si>
  <si>
    <t>Speaker</t>
  </si>
  <si>
    <t>6 Weeks</t>
  </si>
  <si>
    <t>DAC</t>
  </si>
  <si>
    <t>12 Weeks</t>
  </si>
  <si>
    <t>Audio Amplifier</t>
  </si>
  <si>
    <t>J-Link</t>
  </si>
  <si>
    <t>4 Weeks</t>
  </si>
  <si>
    <t>J-Link Adapter</t>
  </si>
  <si>
    <t>Batteries</t>
  </si>
  <si>
    <t>2 Days</t>
  </si>
  <si>
    <t>Battery Holder</t>
  </si>
  <si>
    <t>3 Days</t>
  </si>
  <si>
    <t>Door lock</t>
  </si>
  <si>
    <t>PCB</t>
  </si>
  <si>
    <t>Unknown</t>
  </si>
  <si>
    <t>This is the cost for 6 PCB's</t>
  </si>
  <si>
    <t>Antenna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</si>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</sst>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4" xfId="0" applyBorder="1" applyFont="1" applyNumberFormat="1"/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164" xfId="0" applyBorder="1" applyFont="1" applyNumberFormat="1"/>
    <xf borderId="3" fillId="0" fontId="2" numFmtId="165" xfId="0" applyAlignment="1" applyBorder="1" applyFont="1" applyNumberFormat="1">
      <alignment readingOrder="0"/>
    </xf>
    <xf borderId="3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2" t="s">
        <v>5</v>
      </c>
    </row>
    <row r="3">
      <c r="B3" s="3" t="s">
        <v>6</v>
      </c>
      <c r="C3" s="4">
        <v>3.0</v>
      </c>
      <c r="D3" s="3" t="s">
        <v>7</v>
      </c>
      <c r="E3" s="3">
        <v>6.0</v>
      </c>
      <c r="F3" s="5">
        <f t="shared" ref="F3:F16" si="1">E3*C3</f>
        <v>18</v>
      </c>
    </row>
    <row r="4">
      <c r="B4" s="6" t="s">
        <v>8</v>
      </c>
      <c r="C4" s="7">
        <v>36.0</v>
      </c>
      <c r="D4" s="6" t="s">
        <v>9</v>
      </c>
      <c r="E4" s="6">
        <v>6.0</v>
      </c>
      <c r="F4" s="8">
        <f t="shared" si="1"/>
        <v>216</v>
      </c>
    </row>
    <row r="5">
      <c r="B5" s="6" t="s">
        <v>10</v>
      </c>
      <c r="C5" s="7">
        <v>53.0</v>
      </c>
      <c r="D5" s="6" t="s">
        <v>7</v>
      </c>
      <c r="E5" s="6">
        <v>1.0</v>
      </c>
      <c r="F5" s="8">
        <f t="shared" si="1"/>
        <v>53</v>
      </c>
    </row>
    <row r="6">
      <c r="B6" s="6" t="s">
        <v>11</v>
      </c>
      <c r="C6" s="9">
        <v>0.5</v>
      </c>
      <c r="D6" s="6" t="s">
        <v>7</v>
      </c>
      <c r="E6" s="6">
        <v>6.0</v>
      </c>
      <c r="F6" s="10">
        <f t="shared" si="1"/>
        <v>3</v>
      </c>
    </row>
    <row r="7">
      <c r="B7" s="6" t="s">
        <v>12</v>
      </c>
      <c r="C7" s="7">
        <v>28.0</v>
      </c>
      <c r="D7" s="6" t="s">
        <v>13</v>
      </c>
      <c r="E7" s="6">
        <v>2.0</v>
      </c>
      <c r="F7" s="8">
        <f t="shared" si="1"/>
        <v>56</v>
      </c>
    </row>
    <row r="8">
      <c r="B8" s="6" t="s">
        <v>14</v>
      </c>
      <c r="C8" s="9">
        <v>4.25</v>
      </c>
      <c r="D8" s="6" t="s">
        <v>15</v>
      </c>
      <c r="E8" s="6">
        <v>6.0</v>
      </c>
      <c r="F8" s="10">
        <f t="shared" si="1"/>
        <v>25.5</v>
      </c>
    </row>
    <row r="9">
      <c r="B9" s="6" t="s">
        <v>16</v>
      </c>
      <c r="C9" s="9">
        <v>0.6</v>
      </c>
      <c r="D9" s="6" t="s">
        <v>13</v>
      </c>
      <c r="E9" s="6">
        <v>6.0</v>
      </c>
      <c r="F9" s="10">
        <f t="shared" si="1"/>
        <v>3.6</v>
      </c>
    </row>
    <row r="10">
      <c r="B10" s="6" t="s">
        <v>17</v>
      </c>
      <c r="C10" s="7">
        <v>960.0</v>
      </c>
      <c r="D10" s="6" t="s">
        <v>18</v>
      </c>
      <c r="E10" s="6">
        <v>1.0</v>
      </c>
      <c r="F10" s="8">
        <f t="shared" si="1"/>
        <v>960</v>
      </c>
    </row>
    <row r="11">
      <c r="B11" s="6" t="s">
        <v>19</v>
      </c>
      <c r="C11" s="7">
        <v>50.0</v>
      </c>
      <c r="D11" s="6" t="s">
        <v>9</v>
      </c>
      <c r="E11" s="6">
        <v>1.0</v>
      </c>
      <c r="F11" s="8">
        <f t="shared" si="1"/>
        <v>50</v>
      </c>
    </row>
    <row r="12">
      <c r="B12" s="6" t="s">
        <v>20</v>
      </c>
      <c r="C12" s="9">
        <v>0.82</v>
      </c>
      <c r="D12" s="6" t="s">
        <v>21</v>
      </c>
      <c r="E12" s="6">
        <v>20.0</v>
      </c>
      <c r="F12" s="10">
        <f t="shared" si="1"/>
        <v>16.4</v>
      </c>
    </row>
    <row r="13">
      <c r="B13" s="6" t="s">
        <v>22</v>
      </c>
      <c r="C13" s="9">
        <v>1.63</v>
      </c>
      <c r="D13" s="6" t="s">
        <v>23</v>
      </c>
      <c r="E13" s="6">
        <v>20.0</v>
      </c>
      <c r="F13" s="10">
        <f t="shared" si="1"/>
        <v>32.6</v>
      </c>
    </row>
    <row r="14">
      <c r="B14" s="6" t="s">
        <v>24</v>
      </c>
      <c r="C14" s="9">
        <v>203.99</v>
      </c>
      <c r="D14" s="6" t="s">
        <v>7</v>
      </c>
      <c r="E14" s="6">
        <v>1.0</v>
      </c>
      <c r="F14" s="10">
        <f t="shared" si="1"/>
        <v>203.99</v>
      </c>
    </row>
    <row r="15">
      <c r="B15" s="6" t="s">
        <v>25</v>
      </c>
      <c r="C15" s="7">
        <v>365.0</v>
      </c>
      <c r="D15" s="6" t="s">
        <v>26</v>
      </c>
      <c r="E15" s="6">
        <v>1.0</v>
      </c>
      <c r="F15" s="8">
        <f t="shared" si="1"/>
        <v>365</v>
      </c>
      <c r="G15" s="2" t="s">
        <v>27</v>
      </c>
    </row>
    <row r="16">
      <c r="B16" s="6" t="s">
        <v>28</v>
      </c>
      <c r="C16" s="9">
        <v>13.3</v>
      </c>
      <c r="D16" s="6" t="s">
        <v>7</v>
      </c>
      <c r="E16" s="6">
        <v>12.0</v>
      </c>
      <c r="F16" s="10">
        <f t="shared" si="1"/>
        <v>159.6</v>
      </c>
    </row>
    <row r="17">
      <c r="E17" s="6" t="s">
        <v>29</v>
      </c>
      <c r="F17" s="8">
        <f>sum(F3:F16)</f>
        <v>2162.69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