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rfrTFkwJtSt/lF6YwUUOm/EXgXr7yu5Z7fZOHJT9PE="/>
    </ext>
  </extLst>
</workbook>
</file>

<file path=xl/sharedStrings.xml><?xml version="1.0" encoding="utf-8"?>
<sst xmlns="http://schemas.openxmlformats.org/spreadsheetml/2006/main" count="354" uniqueCount="292">
  <si>
    <t>Semester 1 Purchasing</t>
  </si>
  <si>
    <t>QTY</t>
  </si>
  <si>
    <t>Part Number</t>
  </si>
  <si>
    <t>Digikey Part Number</t>
  </si>
  <si>
    <t>Product Description</t>
  </si>
  <si>
    <t>Unit Price</t>
  </si>
  <si>
    <t>Total Price</t>
  </si>
  <si>
    <t>EW840E5N</t>
  </si>
  <si>
    <t>Wifi Gateway. Size: Individual</t>
  </si>
  <si>
    <t>LR431U-7.2X7IR3</t>
  </si>
  <si>
    <t>LED Light Strips</t>
  </si>
  <si>
    <t>MB1000-000</t>
  </si>
  <si>
    <t>Ultrasonic Sensor</t>
  </si>
  <si>
    <t>CSS-66668N</t>
  </si>
  <si>
    <t>102-3861-ND</t>
  </si>
  <si>
    <t>SPEAKER 8OHM 3W</t>
  </si>
  <si>
    <t>QPG6200LDK-01</t>
  </si>
  <si>
    <t>2312-QPG6200LDK-01-ND</t>
  </si>
  <si>
    <t>Development Kit</t>
  </si>
  <si>
    <t>PK-LEW840X</t>
  </si>
  <si>
    <t>1914-PK-LEW840X-ND</t>
  </si>
  <si>
    <t>EVAL BOARD FOR LEW840X</t>
  </si>
  <si>
    <t>RP3502ARED</t>
  </si>
  <si>
    <t>EG1930-ND</t>
  </si>
  <si>
    <t>Pushbutton Switch SPST-NO Standard Panel Mount, Front</t>
  </si>
  <si>
    <t>TEW-827DRU</t>
  </si>
  <si>
    <t>3922-TEW-827DRU-ND</t>
  </si>
  <si>
    <t>Trendnet AC2600 Dual Band Wireless Router</t>
  </si>
  <si>
    <t>TPA2034D1YZFT</t>
  </si>
  <si>
    <t>Audio Amplifiers 2.75W Mon Fully Diff Class-D Aud Amp A 595-TPA2034D1YZFT</t>
  </si>
  <si>
    <t>485-3571</t>
  </si>
  <si>
    <t>Hardware Debuggers SEGGER J-Link EDU Mini - JTAG/SWD Debugger</t>
  </si>
  <si>
    <t>B018TQRUWW</t>
  </si>
  <si>
    <t>Cat8 Ethernet Cable, Outdoor&amp;Indoor, 25 FT Heavy Duty High Speed Cat 8 LAN Network Cable, 40Gbps 2000MHz RJ45 Flat Internet Computer Patch Cord, Weatherproof S/FTP UV Resistant for Router/Modem/Gaming</t>
  </si>
  <si>
    <t>B0C8HWQYXF</t>
  </si>
  <si>
    <t>Elegoo 1 kg 3d printer filament (marble)</t>
  </si>
  <si>
    <t>B0D3X5CT2J</t>
  </si>
  <si>
    <t>M3 Bolt Set</t>
  </si>
  <si>
    <t>1775485-1</t>
  </si>
  <si>
    <t>A107796-ND</t>
  </si>
  <si>
    <t>Battery Holder (Open) Coin, 20.0mm 1 Cell PC Pin</t>
  </si>
  <si>
    <t>SPG08P4HM4H-1</t>
  </si>
  <si>
    <t>6017-SPG08P4HM4H-1CT-ND</t>
  </si>
  <si>
    <t>30 Hz ~ 10 kHz Digital, PDM Microphone MEMS (Silicon) Omnidirectional (-26dB ±1dB @ 94dB SPL) Solder Pads</t>
  </si>
  <si>
    <t>3220-10-0100-00</t>
  </si>
  <si>
    <t>1175-1627-ND</t>
  </si>
  <si>
    <t>Connector Header Through Hole 10 position 0.050" (1.27mm)</t>
  </si>
  <si>
    <t>900-2177971022-ND</t>
  </si>
  <si>
    <t>2 Position Cable Assembly Rectangular Socket to Individual Wire Leads 0.984' (300.00mm, 11.81")</t>
  </si>
  <si>
    <t>WM4000-ND</t>
  </si>
  <si>
    <t>Connector Header Through Hole 2 position 0.100" (2.54mm)</t>
  </si>
  <si>
    <t>CL10A106KP8NNNC</t>
  </si>
  <si>
    <t>1276-1192-1-ND</t>
  </si>
  <si>
    <t>10 µF ±10% 10V Ceramic Capacitor X5R 0603 (1608 Metric)</t>
  </si>
  <si>
    <t>CL10B104JB8NNNC</t>
  </si>
  <si>
    <t>1276-1033-1-ND</t>
  </si>
  <si>
    <t>0.1 µF ±5% 50V Ceramic Capacitor X7R 0603 (1608 Metric)</t>
  </si>
  <si>
    <t>CMS11(TE12L,Q,M)</t>
  </si>
  <si>
    <t>CMS11QCT-ND</t>
  </si>
  <si>
    <t>Diode 40 V 2A Surface Mount M-FLAT (2.4x3.8)</t>
  </si>
  <si>
    <t>RC0603JR-070RL</t>
  </si>
  <si>
    <t>311-0.0GRCT-ND</t>
  </si>
  <si>
    <t>0 Ohms Jumper Chip Resistor 0603 (1608 Metric) Moisture Resistant Thick Film</t>
  </si>
  <si>
    <t>WM4002-ND</t>
  </si>
  <si>
    <t>Connector Header Through Hole 4 position 0.100" (2.54mm)</t>
  </si>
  <si>
    <t>900-2177971042-ND</t>
  </si>
  <si>
    <t>4 Position Cable Assembly Rectangular Socket to Individual Wire Leads 0.984' (300.00mm, 11.81")</t>
  </si>
  <si>
    <t>DAC6551AQDGKRQ1</t>
  </si>
  <si>
    <t>296-45314-1-ND</t>
  </si>
  <si>
    <t>12 Bit Digital to Analog Converter 1 8-VSSOP</t>
  </si>
  <si>
    <t>8Q-32.000MEEV-T</t>
  </si>
  <si>
    <t>887-1849-1-ND</t>
  </si>
  <si>
    <t>32 MHz ±10ppm Crystal 8pF 80 Ohms 4-SMD, No Lead</t>
  </si>
  <si>
    <t>CR2032</t>
  </si>
  <si>
    <t>490-18646-ND</t>
  </si>
  <si>
    <t>Coin, 20.0mm Lithium Manganese Dioxide 3 V Battery Non-Rechargeable (Primary)</t>
  </si>
  <si>
    <t>OS102011MS2QN1</t>
  </si>
  <si>
    <t>CKN9565-ND</t>
  </si>
  <si>
    <t>Slide Switch SPDT Through Hole</t>
  </si>
  <si>
    <t>LQM18PN3R3MFRL</t>
  </si>
  <si>
    <t>490-12783-1-ND</t>
  </si>
  <si>
    <t>3.3 µH Shielded Multilayer Inductor 700 mA 438mOhm Max 0603 (1608 Metric)</t>
  </si>
  <si>
    <t>CL10B105KP8NNNC</t>
  </si>
  <si>
    <t>1276-1946-1-ND</t>
  </si>
  <si>
    <t>1 µF ±10% 10V Ceramic Capacitor X7R 0603 (1608 Metric)</t>
  </si>
  <si>
    <t>CL10A225KO8NNNC</t>
  </si>
  <si>
    <t>1276-1040-1-ND</t>
  </si>
  <si>
    <t>2.2 µF ±10% 16V Ceramic Capacitor X5R 0603 (1608 Metric)</t>
  </si>
  <si>
    <t>CL10A475KP8NNNC</t>
  </si>
  <si>
    <t>1276-1044-1-ND</t>
  </si>
  <si>
    <t>4.7 µF ±10% 10V Ceramic Capacitor X5R 0603 (1608 Metric)</t>
  </si>
  <si>
    <t>CRCW08051R00FKEAHP</t>
  </si>
  <si>
    <t>541-1.00TCT-ND</t>
  </si>
  <si>
    <t>1 Ohms ±1% 0.5W, 1/2W Chip Resistor 0805 (2012 Metric) Automotive AEC-Q200, Pulse Withstanding Thick Film</t>
  </si>
  <si>
    <t>LDO40LPU33RY</t>
  </si>
  <si>
    <t>497-18288-1-ND</t>
  </si>
  <si>
    <t>Linear Voltage Regulator IC Positive Fixed 1 Output 400mA 6-DFN (3x3)</t>
  </si>
  <si>
    <t>LDO40LPU50RY</t>
  </si>
  <si>
    <t>497-LDO40LPU50RYCT-ND</t>
  </si>
  <si>
    <t>600S2R2AT250XT4K</t>
  </si>
  <si>
    <t>478-600S2R2AT250XT4KCT-ND</t>
  </si>
  <si>
    <t>2.2 pF ±0.05pF 250V Ceramic Capacitor C0G, NP0 0603 (1608 Metric)</t>
  </si>
  <si>
    <t>600S1R5BT250XT4K</t>
  </si>
  <si>
    <t>1284-600S1R5BT250XT4KCT-ND</t>
  </si>
  <si>
    <t>1.5 pF ±0.1pF 250V Ceramic Capacitor C0G, NP0 0603 (1608 Metric)</t>
  </si>
  <si>
    <t>600S1R8BT250XT4K</t>
  </si>
  <si>
    <t>478-600S1R8BT250XT4KCT-ND</t>
  </si>
  <si>
    <t>1.8 pF ±0.1pF 250V Ceramic Capacitor C0G, NP0 0603 (1608 Metric)</t>
  </si>
  <si>
    <t>600S180FT250XT4K</t>
  </si>
  <si>
    <t>478-600S180FT250XT4KCT-ND</t>
  </si>
  <si>
    <t>MHQ0402PSA2N9ST000</t>
  </si>
  <si>
    <t>445-MHQ0402PSA2N9ST000CT-ND</t>
  </si>
  <si>
    <t>2.9 nH Shielded Multilayer Inductor 250 mA 600mOhm Max 01005 (0402 Metric)</t>
  </si>
  <si>
    <t>SMA-J-P-H-ST-TH1</t>
  </si>
  <si>
    <t>SAM8971-ND</t>
  </si>
  <si>
    <t>SMA Connector Jack, Female Socket 50 Ohms Through Hole Solder</t>
  </si>
  <si>
    <t>10-pin 2x5 Socket-Socket 1.27mm IDC (SWD) Cable - 150mm long</t>
  </si>
  <si>
    <t>772-QPG6200LTR13</t>
  </si>
  <si>
    <t>RF System on a Chip - SoC QPG6200 10DBM 4X4QFN32</t>
  </si>
  <si>
    <t>Total:</t>
  </si>
  <si>
    <t>Semester 2 Purchasing</t>
  </si>
  <si>
    <t>ANT-2.4-CW-RH-SMA</t>
  </si>
  <si>
    <t>ANT-2.4-CW-RH-SMA-ND</t>
  </si>
  <si>
    <t>RF ANTENNA Bluetooth, Thread, Wi-Fi, Zigbee™ Whip, Straight SMA Male Connector Mount</t>
  </si>
  <si>
    <t>KAPTON-TAPE10MM</t>
  </si>
  <si>
    <t>1188-KAPTON-TAPE10MM-ND</t>
  </si>
  <si>
    <t>Masking Tape Adhesive 0.39" (10.00mm) X 98' (30.0m) 33 yds</t>
  </si>
  <si>
    <t>1528-2009-ND</t>
  </si>
  <si>
    <t>10 Position Cable Assembly Rectangular Socket to Socket 0.492' (150.00mm, 5.91")</t>
  </si>
  <si>
    <t>QphYWLSa</t>
  </si>
  <si>
    <t>OSH Park PCB order (3 PCB's) with expidited shipping.</t>
  </si>
  <si>
    <t>B079KTVRC9</t>
  </si>
  <si>
    <t>Apache 3800 Carrying Case</t>
  </si>
  <si>
    <t>GRPB052VWQS-RC</t>
  </si>
  <si>
    <t>S9012E-05-ND</t>
  </si>
  <si>
    <t>Connector Header Surface Mount 10 position 0.050" (1.27mm)</t>
  </si>
  <si>
    <t>LQW15AN2N9B00D</t>
  </si>
  <si>
    <t>490-6801-2-ND</t>
  </si>
  <si>
    <t>2.9 nH Unshielded Drum Core, Wirewound Inductor 750 mA 70mOhm Max 0402 (1005 Metric)</t>
  </si>
  <si>
    <t>SC0193(11)</t>
  </si>
  <si>
    <t>2648-SC0193(11)-ND</t>
  </si>
  <si>
    <t>SBC 1.5GHZ 4 CORE 2GB PI 4 MOD B</t>
  </si>
  <si>
    <t>SC0445</t>
  </si>
  <si>
    <t>2648-SC0445-ND</t>
  </si>
  <si>
    <t>AC/DC WALL MNT ADAPTER 5.1V 15W</t>
  </si>
  <si>
    <t>NRF52840-DONGLE</t>
  </si>
  <si>
    <t>1490-1073-ND</t>
  </si>
  <si>
    <t>USB DONGLE NRF52840 PCA10059</t>
  </si>
  <si>
    <t>SC1629</t>
  </si>
  <si>
    <t>2648-SC1629-ND</t>
  </si>
  <si>
    <t>MEM CARD MICROSD 64GB CLASS 10</t>
  </si>
  <si>
    <t>USB-CARD-READER</t>
  </si>
  <si>
    <t>1188-USB-CARD-READER-ND</t>
  </si>
  <si>
    <t>LM48511SQX/NOPB</t>
  </si>
  <si>
    <t>296-LM48511SQX/NOPBTR-ND</t>
  </si>
  <si>
    <t>Amplifier IC 1-Channel (Mono) Class D 24-WQFN (4x5)</t>
  </si>
  <si>
    <t>DFLS230LH-7</t>
  </si>
  <si>
    <t>DFLS230LHDITR-ND</t>
  </si>
  <si>
    <t>Diode 30 V 2A Surface Mount PowerDI™ 123</t>
  </si>
  <si>
    <t>IHLP2525CZER6R8M01</t>
  </si>
  <si>
    <t>541-1011-2-ND</t>
  </si>
  <si>
    <t>6.8 µH Shielded Molded Inductor 4.5 A 60mOhm Max Nonstandard</t>
  </si>
  <si>
    <t>CC0402KRX5R6BB184</t>
  </si>
  <si>
    <t>13-CC0402KRX5R6BB184TR-ND</t>
  </si>
  <si>
    <t>0.18 µF ±10% 10V Ceramic Capacitor X5R 0402 (1005 Metric)</t>
  </si>
  <si>
    <t>RC0603FR-0720KL</t>
  </si>
  <si>
    <t>311-20.0KHRTR-ND</t>
  </si>
  <si>
    <t>20 kOhms ±1% 0.1W, 1/10W Chip Resistor 0603 (1608 Metric) Moisture Resistant Thick Film</t>
  </si>
  <si>
    <t>CR0603-FX-4871ELF</t>
  </si>
  <si>
    <t>CR0603-FX-4871ELFTR-ND</t>
  </si>
  <si>
    <t>4.87 kOhms ±1% 0.1W, 1/10W Chip Resistor 0603 (1608 Metric) Moisture Resistant Thick Film</t>
  </si>
  <si>
    <t>RC0603FR-079K31L</t>
  </si>
  <si>
    <t>311-9.31KHRTR-ND</t>
  </si>
  <si>
    <t>9.31 kOhms ±1% 0.1W, 1/10W Chip Resistor 0603 (1608 Metric) Moisture Resistant Thick Film</t>
  </si>
  <si>
    <t>RNCF0603BTE2K50</t>
  </si>
  <si>
    <t>738-RNCF0603BTE2K50TR-ND</t>
  </si>
  <si>
    <t>2.5 kOhms ±0.1% 0.167W, 1/6W Chip Resistor 0603 (1608 Metric) Automotive AEC-Q200 Thin Film</t>
  </si>
  <si>
    <t>CC0603KRX7R9BB271</t>
  </si>
  <si>
    <t>311-1185-2-ND</t>
  </si>
  <si>
    <t>270 pF ±10% 50V Ceramic Capacitor X7R 0603 (1608 Metric)</t>
  </si>
  <si>
    <t>GRM21BR60G107ME11L</t>
  </si>
  <si>
    <t>490-13980-2-ND</t>
  </si>
  <si>
    <t>100 µF ±20% 4V Ceramic Capacitor X5R 0805 (2012 Metric)</t>
  </si>
  <si>
    <t>RC0603FR-0725K5L</t>
  </si>
  <si>
    <t>311-25.5KHRTR-ND</t>
  </si>
  <si>
    <t>25.5 kOhms ±1% 0.1W, 1/10W Chip Resistor 0603 (1608 Metric) Moisture Resistant Thick Film</t>
  </si>
  <si>
    <t>QORVO_RADIO2_REV1</t>
  </si>
  <si>
    <t>3 6-layer PCB boards from OSH Park with $28.00 Next day air shipping</t>
  </si>
  <si>
    <t>PCB Stencil board with USPS First class w/Tracking</t>
  </si>
  <si>
    <t>Post-PRP Purchasing</t>
  </si>
  <si>
    <t>CONN HEADER VERT 2POS 2.54MM</t>
  </si>
  <si>
    <t>311-0.0GRTR-ND</t>
  </si>
  <si>
    <t>RES 0 OHM JUMPER 1/10W 0603</t>
  </si>
  <si>
    <t>LQG15WZ3N2C02D</t>
  </si>
  <si>
    <t>490-LQG15WZ3N2C02DTR-ND</t>
  </si>
  <si>
    <t>FIXED IND 3.2NH 900MA 90 MOHM</t>
  </si>
  <si>
    <t>490-12783-2-ND</t>
  </si>
  <si>
    <t>FIXED IND 3.3UH 700MA 438 MOHM</t>
  </si>
  <si>
    <t>1276-1033-2-ND</t>
  </si>
  <si>
    <t>CAP CER 0.1UF 50V X7R 0603</t>
  </si>
  <si>
    <t>1276-1946-2-ND</t>
  </si>
  <si>
    <t>CAP CER 1UF 10V X7R 0603</t>
  </si>
  <si>
    <t>887-1849-2-ND</t>
  </si>
  <si>
    <t>CRYSTAL 32.0000MHZ 8PF SMD</t>
  </si>
  <si>
    <t>CONN HEADER VERT 4POS 2.54MM</t>
  </si>
  <si>
    <t>478-600S1R8BT250XT4KTR-ND</t>
  </si>
  <si>
    <t>CAP CER 1.8PF 250V C0G/NP0 0603</t>
  </si>
  <si>
    <t>BQ29209DRBR</t>
  </si>
  <si>
    <t>296-27677-2-ND</t>
  </si>
  <si>
    <t>IC BATT PROT LI-ION 2CELL 8SON</t>
  </si>
  <si>
    <t>DO NOT ORDER</t>
  </si>
  <si>
    <t>RC0603FR-07100RL</t>
  </si>
  <si>
    <t>311-100HRTR-ND</t>
  </si>
  <si>
    <t>RES 100 OHM 1% 1/10W 0603</t>
  </si>
  <si>
    <t>541-1.00TTR-ND</t>
  </si>
  <si>
    <t>RES SMD 1 OHM 1% 1/2W 0805</t>
  </si>
  <si>
    <t>1276-1192-2-ND</t>
  </si>
  <si>
    <t>CAP CER 10UF 10V X5R 0603</t>
  </si>
  <si>
    <t>CAP CER 0.18UF 10V X5R 0402</t>
  </si>
  <si>
    <t>RMCF0603FT1K00</t>
  </si>
  <si>
    <t>RMCF0603FT1K00TR-ND</t>
  </si>
  <si>
    <t>RES 1K OHM 1% 1/10W 0603</t>
  </si>
  <si>
    <t>296-45314-2-ND</t>
  </si>
  <si>
    <t>IC DAC 12BIT V-OUT 8VSSOP</t>
  </si>
  <si>
    <t>SWITCH SLIDE SPDT 100MA 12V</t>
  </si>
  <si>
    <t>RC0603JR-07330RL</t>
  </si>
  <si>
    <t>311-330GRTR-ND</t>
  </si>
  <si>
    <t>RES 330 OHM 5% 1/10W 0603</t>
  </si>
  <si>
    <t>CAP CER 270PF 50V X7R 0603</t>
  </si>
  <si>
    <t>CBR06C129B5GAC</t>
  </si>
  <si>
    <t>399-CBR06C129B5GACTR-ND</t>
  </si>
  <si>
    <t>CAP CER 1.2PF 50V C0G/NP0 0603</t>
  </si>
  <si>
    <t>478-600S2R2AT250XT4KTR-ND</t>
  </si>
  <si>
    <t>CAP CER 2.2PF 250V C0G/NP0 0603</t>
  </si>
  <si>
    <t>RES 9.31K OHM 1% 1/10W 0603</t>
  </si>
  <si>
    <t>RC0402FR-071KL</t>
  </si>
  <si>
    <t>311-1.00KLRTR-ND</t>
  </si>
  <si>
    <t>RES 1K OHM 1% 1/16W 0402</t>
  </si>
  <si>
    <t>497-18288-2-ND</t>
  </si>
  <si>
    <t>IC REG LINEAR 3.3V 400MA 6-DFN</t>
  </si>
  <si>
    <t>CONN SMA JACK STR 50 OHM PCB</t>
  </si>
  <si>
    <t>CONN HEADER SMD 10POS 1.27MM</t>
  </si>
  <si>
    <t>478-600S180FT250XT4KTR-ND</t>
  </si>
  <si>
    <t>CAP CER 18PF 250V C0G/NP0 0603</t>
  </si>
  <si>
    <t>B2B-PH-K-S</t>
  </si>
  <si>
    <t>455-1704-ND</t>
  </si>
  <si>
    <t>CONN HEADER VERT 2POS 2MM</t>
  </si>
  <si>
    <t>RC0603JR-07160RL</t>
  </si>
  <si>
    <t>311-160GRTR-ND</t>
  </si>
  <si>
    <t>RES 160 OHM 5% 1/10W 0603</t>
  </si>
  <si>
    <t>TNPW0603250RBEEN</t>
  </si>
  <si>
    <t>541-TNPW0603250RBEENTR-ND</t>
  </si>
  <si>
    <t>RES 250 OHM 0.1% 0.21W 0603</t>
  </si>
  <si>
    <t>CGA3E3X7R1H334K080AB</t>
  </si>
  <si>
    <t>445-174426-2-ND</t>
  </si>
  <si>
    <t>CAP CER 0.33UF 50V X7R 0603</t>
  </si>
  <si>
    <t>1276-1044-2-ND</t>
  </si>
  <si>
    <t>CAP CER 4.7UF 10V X5R 0603</t>
  </si>
  <si>
    <t>1276-1040-2-ND</t>
  </si>
  <si>
    <t>CAP CER 2.2UF 16V X5R 0603</t>
  </si>
  <si>
    <t>RK73B1JTTD203J</t>
  </si>
  <si>
    <t>2019-RK73B1JTTD203JTR-ND</t>
  </si>
  <si>
    <t>RES 20K OHM 5% 1/10W 0603</t>
  </si>
  <si>
    <t>497-LDO40LPU50RYTR-ND</t>
  </si>
  <si>
    <t>IC REG LINEAR 5V 400MA 6-DFN</t>
  </si>
  <si>
    <t>6017-SPG08P4HM4H-1TR-ND</t>
  </si>
  <si>
    <t>QPG6200LTR13</t>
  </si>
  <si>
    <t>QORVO QPG6200LTR13</t>
  </si>
  <si>
    <t>UBBP01</t>
  </si>
  <si>
    <t>Battery Packs 3.7V 1.8 AH Li-ION</t>
  </si>
  <si>
    <t>NA</t>
  </si>
  <si>
    <t>OSH Park Boards (6)</t>
  </si>
  <si>
    <t>Osh Stencil (3)</t>
  </si>
  <si>
    <t>1528-4410-ND</t>
  </si>
  <si>
    <t>LIPOLY BATTERY CHARGER W/USB C</t>
  </si>
  <si>
    <t>1568-15217-ND</t>
  </si>
  <si>
    <t>MCP73833 - Battery Charger Power Management Evaluation Board</t>
  </si>
  <si>
    <t xml:space="preserve"> 3.3 µH Shielded Multilayer Inductor 700 mA 438mOhm Max 0603 (1608 Metric)</t>
  </si>
  <si>
    <t>2019-RK73B1JTTD203JCT-ND</t>
  </si>
  <si>
    <t xml:space="preserve"> 20 kOhms ±5% 0.1W, 1/10W Chip Resistor 0603 (1608 Metric) Automotive AEC-Q200 Thick Film</t>
  </si>
  <si>
    <t>Total Spent</t>
  </si>
  <si>
    <t>Electrical:</t>
  </si>
  <si>
    <t>Computer:</t>
  </si>
  <si>
    <t>Mechanical:</t>
  </si>
  <si>
    <t>Travel</t>
  </si>
  <si>
    <t>Total Budget</t>
  </si>
  <si>
    <t>Remaining Budget</t>
  </si>
  <si>
    <t>Budget Breakdown</t>
  </si>
  <si>
    <t>Electrical</t>
  </si>
  <si>
    <t>Computer</t>
  </si>
  <si>
    <t>Mechanical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</si>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</sst>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1.0"/>
      <color theme="1"/>
      <name val="Aptos Narrow"/>
      <scheme val="minor"/>
    </font>
    <font>
      <b/>
      <sz val="8.0"/>
      <color theme="1"/>
      <name val="Aptos"/>
    </font>
    <font/>
    <font>
      <sz val="8.0"/>
      <color theme="1"/>
      <name val="Aptos"/>
    </font>
    <font>
      <sz val="7.0"/>
      <color rgb="FF444444"/>
      <name val="Arial"/>
    </font>
    <font>
      <sz val="8.0"/>
      <color theme="1"/>
      <name val="Arial"/>
    </font>
    <font>
      <sz val="12.0"/>
      <color theme="1"/>
      <name val="Aptos"/>
    </font>
    <font>
      <color theme="1"/>
      <name val="Aptos Narrow"/>
      <scheme val="minor"/>
    </font>
    <font>
      <strike/>
      <sz val="8.0"/>
      <color theme="1"/>
      <name val="Aptos"/>
    </font>
    <font>
      <strike/>
      <sz val="8.0"/>
      <color theme="1"/>
      <name val="Arial"/>
    </font>
    <font>
      <color theme="1"/>
      <name val="Arial"/>
    </font>
    <font>
      <sz val="8.0"/>
      <color theme="1"/>
      <name val="Aptos Narrow"/>
      <scheme val="minor"/>
    </font>
    <font>
      <color theme="1"/>
      <name val="Times New Roman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164" xfId="0" applyAlignment="1" applyBorder="1" applyFont="1" applyNumberFormat="1">
      <alignment vertical="center"/>
    </xf>
    <xf borderId="4" fillId="3" fontId="3" numFmtId="164" xfId="0" applyAlignment="1" applyBorder="1" applyFill="1" applyFont="1" applyNumberFormat="1">
      <alignment vertical="center"/>
    </xf>
    <xf borderId="4" fillId="0" fontId="4" numFmtId="0" xfId="0" applyBorder="1" applyFont="1"/>
    <xf borderId="4" fillId="0" fontId="5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/>
    </xf>
    <xf borderId="4" fillId="0" fontId="3" numFmtId="0" xfId="0" applyBorder="1" applyFont="1"/>
    <xf borderId="4" fillId="0" fontId="1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top"/>
    </xf>
    <xf borderId="0" fillId="3" fontId="7" numFmtId="0" xfId="0" applyFont="1"/>
    <xf borderId="4" fillId="3" fontId="3" numFmtId="0" xfId="0" applyBorder="1" applyFont="1"/>
    <xf borderId="4" fillId="3" fontId="3" numFmtId="0" xfId="0" applyAlignment="1" applyBorder="1" applyFont="1">
      <alignment horizontal="left"/>
    </xf>
    <xf borderId="4" fillId="3" fontId="3" numFmtId="164" xfId="0" applyBorder="1" applyFont="1" applyNumberFormat="1"/>
    <xf borderId="0" fillId="4" fontId="7" numFmtId="0" xfId="0" applyFill="1" applyFont="1"/>
    <xf borderId="4" fillId="3" fontId="5" numFmtId="164" xfId="0" applyAlignment="1" applyBorder="1" applyFont="1" applyNumberFormat="1">
      <alignment readingOrder="0"/>
    </xf>
    <xf borderId="4" fillId="3" fontId="5" numFmtId="0" xfId="0" applyAlignment="1" applyBorder="1" applyFont="1">
      <alignment readingOrder="0"/>
    </xf>
    <xf borderId="4" fillId="3" fontId="8" numFmtId="0" xfId="0" applyBorder="1" applyFont="1"/>
    <xf borderId="4" fillId="3" fontId="9" numFmtId="0" xfId="0" applyAlignment="1" applyBorder="1" applyFont="1">
      <alignment readingOrder="0"/>
    </xf>
    <xf borderId="4" fillId="3" fontId="8" numFmtId="164" xfId="0" applyBorder="1" applyFont="1" applyNumberFormat="1"/>
    <xf borderId="0" fillId="0" fontId="10" numFmtId="0" xfId="0" applyAlignment="1" applyFont="1">
      <alignment readingOrder="0"/>
    </xf>
    <xf borderId="4" fillId="0" fontId="3" numFmtId="164" xfId="0" applyBorder="1" applyFont="1" applyNumberFormat="1"/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left" readingOrder="0"/>
    </xf>
    <xf borderId="4" fillId="0" fontId="5" numFmtId="164" xfId="0" applyAlignment="1" applyBorder="1" applyFont="1" applyNumberFormat="1">
      <alignment readingOrder="0"/>
    </xf>
    <xf borderId="4" fillId="0" fontId="11" numFmtId="0" xfId="0" applyAlignment="1" applyBorder="1" applyFont="1">
      <alignment readingOrder="0"/>
    </xf>
    <xf borderId="4" fillId="0" fontId="11" numFmtId="0" xfId="0" applyAlignment="1" applyBorder="1" applyFont="1">
      <alignment horizontal="left" readingOrder="0"/>
    </xf>
    <xf borderId="4" fillId="0" fontId="1" numFmtId="164" xfId="0" applyBorder="1" applyFont="1" applyNumberFormat="1"/>
    <xf borderId="5" fillId="0" fontId="12" numFmtId="0" xfId="0" applyAlignment="1" applyBorder="1" applyFont="1">
      <alignment horizontal="center" readingOrder="0"/>
    </xf>
    <xf borderId="6" fillId="0" fontId="2" numFmtId="0" xfId="0" applyBorder="1" applyFont="1"/>
    <xf borderId="7" fillId="0" fontId="12" numFmtId="0" xfId="0" applyAlignment="1" applyBorder="1" applyFont="1">
      <alignment readingOrder="0"/>
    </xf>
    <xf borderId="8" fillId="0" fontId="12" numFmtId="164" xfId="0" applyAlignment="1" applyBorder="1" applyFont="1" applyNumberFormat="1">
      <alignment readingOrder="0"/>
    </xf>
    <xf borderId="9" fillId="0" fontId="12" numFmtId="0" xfId="0" applyAlignment="1" applyBorder="1" applyFont="1">
      <alignment readingOrder="0"/>
    </xf>
    <xf borderId="10" fillId="0" fontId="12" numFmtId="164" xfId="0" applyAlignment="1" applyBorder="1" applyFont="1" applyNumberFormat="1">
      <alignment readingOrder="0"/>
    </xf>
    <xf borderId="0" fillId="0" fontId="12" numFmtId="164" xfId="0" applyFont="1" applyNumberFormat="1"/>
    <xf borderId="10" fillId="0" fontId="12" numFmtId="164" xfId="0" applyBorder="1" applyFont="1" applyNumberFormat="1"/>
    <xf borderId="11" fillId="0" fontId="12" numFmtId="0" xfId="0" applyAlignment="1" applyBorder="1" applyFont="1">
      <alignment readingOrder="0"/>
    </xf>
    <xf borderId="12" fillId="0" fontId="12" numFmtId="164" xfId="0" applyBorder="1" applyFont="1" applyNumberFormat="1"/>
    <xf borderId="1" fillId="2" fontId="13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4" fillId="0" fontId="7" numFmtId="164" xfId="0" applyBorder="1" applyFont="1" applyNumberFormat="1"/>
    <xf borderId="4" fillId="0" fontId="10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Pt>
            <c:idx val="3"/>
            <c:spPr>
              <a:solidFill>
                <a:srgbClr val="9900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Sheet1!$C$129:$C$132</c:f>
            </c:strRef>
          </c:cat>
          <c:val>
            <c:numRef>
              <c:f>Sheet1!$D$129:$D$132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Sheet1!$D$138</c:f>
            </c:strRef>
          </c:tx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Sheet1!$C$139:$C$142</c:f>
            </c:strRef>
          </c:cat>
          <c:val>
            <c:numRef>
              <c:f>Sheet1!$D$139:$D$142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127</xdr:row>
      <xdr:rowOff>28575</xdr:rowOff>
    </xdr:from>
    <xdr:ext cx="3629025" cy="3533775"/>
    <xdr:graphicFrame>
      <xdr:nvGraphicFramePr>
        <xdr:cNvPr id="137081820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1504950</xdr:colOff>
      <xdr:row>135</xdr:row>
      <xdr:rowOff>123825</xdr:rowOff>
    </xdr:from>
    <xdr:ext cx="3448050" cy="2133600"/>
    <xdr:graphicFrame>
      <xdr:nvGraphicFramePr>
        <xdr:cNvPr id="154356022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23.38"/>
    <col customWidth="1" min="4" max="4" width="23.25"/>
    <col customWidth="1" min="5" max="5" width="66.88"/>
    <col customWidth="1" min="6" max="6" width="8.75"/>
    <col customWidth="1" min="7" max="7" width="7.88"/>
    <col customWidth="1" min="8" max="26" width="8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3"/>
    </row>
    <row r="3" ht="14.2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ht="14.25" customHeight="1">
      <c r="B4" s="5">
        <v>1.0</v>
      </c>
      <c r="C4" s="5" t="s">
        <v>7</v>
      </c>
      <c r="D4" s="5"/>
      <c r="E4" s="5" t="s">
        <v>8</v>
      </c>
      <c r="F4" s="6">
        <v>95.52</v>
      </c>
      <c r="G4" s="7">
        <f t="shared" ref="G4:G46" si="1">B4*F4</f>
        <v>95.52</v>
      </c>
    </row>
    <row r="5" ht="14.25" customHeight="1">
      <c r="B5" s="5">
        <v>3.0</v>
      </c>
      <c r="C5" s="5" t="s">
        <v>9</v>
      </c>
      <c r="D5" s="5"/>
      <c r="E5" s="5" t="s">
        <v>10</v>
      </c>
      <c r="F5" s="6">
        <v>6.48</v>
      </c>
      <c r="G5" s="7">
        <f t="shared" si="1"/>
        <v>19.44</v>
      </c>
    </row>
    <row r="6" ht="14.25" customHeight="1">
      <c r="B6" s="5">
        <v>10.0</v>
      </c>
      <c r="C6" s="5" t="s">
        <v>11</v>
      </c>
      <c r="D6" s="5"/>
      <c r="E6" s="5" t="s">
        <v>12</v>
      </c>
      <c r="F6" s="6">
        <v>19.95</v>
      </c>
      <c r="G6" s="7">
        <f t="shared" si="1"/>
        <v>199.5</v>
      </c>
    </row>
    <row r="7" ht="14.25" customHeight="1">
      <c r="B7" s="5">
        <v>7.0</v>
      </c>
      <c r="C7" s="5" t="s">
        <v>13</v>
      </c>
      <c r="D7" s="5" t="s">
        <v>14</v>
      </c>
      <c r="E7" s="5" t="s">
        <v>15</v>
      </c>
      <c r="F7" s="6">
        <v>4.18</v>
      </c>
      <c r="G7" s="7">
        <f t="shared" si="1"/>
        <v>29.26</v>
      </c>
    </row>
    <row r="8" ht="14.25" customHeight="1">
      <c r="B8" s="5">
        <v>1.0</v>
      </c>
      <c r="C8" s="5" t="s">
        <v>16</v>
      </c>
      <c r="D8" s="5" t="s">
        <v>17</v>
      </c>
      <c r="E8" s="5" t="s">
        <v>18</v>
      </c>
      <c r="F8" s="6">
        <v>355.74</v>
      </c>
      <c r="G8" s="7">
        <f t="shared" si="1"/>
        <v>355.74</v>
      </c>
    </row>
    <row r="9" ht="14.25" customHeight="1">
      <c r="B9" s="5">
        <v>1.0</v>
      </c>
      <c r="C9" s="5" t="s">
        <v>19</v>
      </c>
      <c r="D9" s="5" t="s">
        <v>20</v>
      </c>
      <c r="E9" s="5" t="s">
        <v>21</v>
      </c>
      <c r="F9" s="6">
        <v>29.3</v>
      </c>
      <c r="G9" s="7">
        <f t="shared" si="1"/>
        <v>29.3</v>
      </c>
    </row>
    <row r="10" ht="14.25" customHeight="1">
      <c r="B10" s="5">
        <v>10.0</v>
      </c>
      <c r="C10" s="5" t="s">
        <v>22</v>
      </c>
      <c r="D10" s="5" t="s">
        <v>23</v>
      </c>
      <c r="E10" s="5" t="s">
        <v>24</v>
      </c>
      <c r="F10" s="6">
        <v>1.98</v>
      </c>
      <c r="G10" s="7">
        <f t="shared" si="1"/>
        <v>19.8</v>
      </c>
    </row>
    <row r="11" ht="14.25" customHeight="1">
      <c r="B11" s="5">
        <v>1.0</v>
      </c>
      <c r="C11" s="5" t="s">
        <v>25</v>
      </c>
      <c r="D11" s="5" t="s">
        <v>26</v>
      </c>
      <c r="E11" s="5" t="s">
        <v>27</v>
      </c>
      <c r="F11" s="6">
        <v>74.0</v>
      </c>
      <c r="G11" s="7">
        <f t="shared" si="1"/>
        <v>74</v>
      </c>
    </row>
    <row r="12" ht="14.25" customHeight="1">
      <c r="B12" s="5">
        <v>10.0</v>
      </c>
      <c r="C12" s="5" t="s">
        <v>28</v>
      </c>
      <c r="D12" s="5"/>
      <c r="E12" s="5" t="s">
        <v>29</v>
      </c>
      <c r="F12" s="6">
        <v>1.24</v>
      </c>
      <c r="G12" s="7">
        <f t="shared" si="1"/>
        <v>12.4</v>
      </c>
    </row>
    <row r="13" ht="14.25" customHeight="1">
      <c r="B13" s="5">
        <v>2.0</v>
      </c>
      <c r="C13" s="5" t="s">
        <v>30</v>
      </c>
      <c r="D13" s="5"/>
      <c r="E13" s="5" t="s">
        <v>31</v>
      </c>
      <c r="F13" s="6">
        <v>74.94</v>
      </c>
      <c r="G13" s="7">
        <f t="shared" si="1"/>
        <v>149.88</v>
      </c>
    </row>
    <row r="14" ht="14.25" customHeight="1">
      <c r="B14" s="5">
        <v>1.0</v>
      </c>
      <c r="C14" s="5" t="s">
        <v>32</v>
      </c>
      <c r="D14" s="5"/>
      <c r="E14" s="5" t="s">
        <v>33</v>
      </c>
      <c r="F14" s="6">
        <v>11.04</v>
      </c>
      <c r="G14" s="7">
        <f t="shared" si="1"/>
        <v>11.04</v>
      </c>
    </row>
    <row r="15" ht="14.25" customHeight="1">
      <c r="B15" s="5">
        <v>2.0</v>
      </c>
      <c r="C15" s="5" t="s">
        <v>34</v>
      </c>
      <c r="D15" s="5"/>
      <c r="E15" s="5" t="s">
        <v>35</v>
      </c>
      <c r="F15" s="6">
        <v>21.99</v>
      </c>
      <c r="G15" s="7">
        <f t="shared" si="1"/>
        <v>43.98</v>
      </c>
    </row>
    <row r="16" ht="14.25" customHeight="1">
      <c r="B16" s="5">
        <v>1.0</v>
      </c>
      <c r="C16" s="5" t="s">
        <v>36</v>
      </c>
      <c r="D16" s="5"/>
      <c r="E16" s="5" t="s">
        <v>37</v>
      </c>
      <c r="F16" s="6">
        <v>7.99</v>
      </c>
      <c r="G16" s="7">
        <f t="shared" si="1"/>
        <v>7.99</v>
      </c>
    </row>
    <row r="17" ht="14.25" customHeight="1">
      <c r="B17" s="5">
        <v>20.0</v>
      </c>
      <c r="C17" s="5" t="s">
        <v>38</v>
      </c>
      <c r="D17" s="5" t="s">
        <v>39</v>
      </c>
      <c r="E17" s="5" t="s">
        <v>40</v>
      </c>
      <c r="F17" s="6">
        <v>1.04</v>
      </c>
      <c r="G17" s="6">
        <f t="shared" si="1"/>
        <v>20.8</v>
      </c>
    </row>
    <row r="18" ht="14.25" customHeight="1">
      <c r="B18" s="5">
        <v>10.0</v>
      </c>
      <c r="C18" s="8" t="s">
        <v>41</v>
      </c>
      <c r="D18" s="5" t="s">
        <v>42</v>
      </c>
      <c r="E18" s="9" t="s">
        <v>43</v>
      </c>
      <c r="F18" s="6">
        <v>1.43</v>
      </c>
      <c r="G18" s="6">
        <f t="shared" si="1"/>
        <v>14.3</v>
      </c>
    </row>
    <row r="19" ht="14.25" customHeight="1">
      <c r="B19" s="5">
        <v>10.0</v>
      </c>
      <c r="C19" s="8" t="s">
        <v>44</v>
      </c>
      <c r="D19" s="5" t="s">
        <v>45</v>
      </c>
      <c r="E19" s="5" t="s">
        <v>46</v>
      </c>
      <c r="F19" s="6">
        <v>0.54</v>
      </c>
      <c r="G19" s="6">
        <f t="shared" si="1"/>
        <v>5.4</v>
      </c>
    </row>
    <row r="20" ht="14.25" customHeight="1">
      <c r="B20" s="5">
        <v>20.0</v>
      </c>
      <c r="C20" s="10">
        <v>2.177971022E9</v>
      </c>
      <c r="D20" s="5" t="s">
        <v>47</v>
      </c>
      <c r="E20" s="5" t="s">
        <v>48</v>
      </c>
      <c r="F20" s="6">
        <v>1.33</v>
      </c>
      <c r="G20" s="6">
        <f t="shared" si="1"/>
        <v>26.6</v>
      </c>
    </row>
    <row r="21" ht="14.25" customHeight="1">
      <c r="B21" s="5">
        <v>20.0</v>
      </c>
      <c r="C21" s="11">
        <v>2.2032021E7</v>
      </c>
      <c r="D21" s="5" t="s">
        <v>49</v>
      </c>
      <c r="E21" s="5" t="s">
        <v>50</v>
      </c>
      <c r="F21" s="6">
        <v>0.18</v>
      </c>
      <c r="G21" s="6">
        <f t="shared" si="1"/>
        <v>3.6</v>
      </c>
    </row>
    <row r="22" ht="14.25" customHeight="1">
      <c r="B22" s="5">
        <v>20.0</v>
      </c>
      <c r="C22" s="12" t="s">
        <v>51</v>
      </c>
      <c r="D22" s="5" t="s">
        <v>52</v>
      </c>
      <c r="E22" s="5" t="s">
        <v>53</v>
      </c>
      <c r="F22" s="6">
        <v>0.03</v>
      </c>
      <c r="G22" s="6">
        <f t="shared" si="1"/>
        <v>0.6</v>
      </c>
    </row>
    <row r="23" ht="14.25" customHeight="1">
      <c r="B23" s="5">
        <v>90.0</v>
      </c>
      <c r="C23" s="12" t="s">
        <v>54</v>
      </c>
      <c r="D23" s="5" t="s">
        <v>55</v>
      </c>
      <c r="E23" s="5" t="s">
        <v>56</v>
      </c>
      <c r="F23" s="6">
        <v>0.01</v>
      </c>
      <c r="G23" s="6">
        <f t="shared" si="1"/>
        <v>0.9</v>
      </c>
    </row>
    <row r="24" ht="14.25" customHeight="1">
      <c r="B24" s="5">
        <v>20.0</v>
      </c>
      <c r="C24" s="12" t="s">
        <v>57</v>
      </c>
      <c r="D24" s="5" t="s">
        <v>58</v>
      </c>
      <c r="E24" s="5" t="s">
        <v>59</v>
      </c>
      <c r="F24" s="6">
        <v>0.24</v>
      </c>
      <c r="G24" s="6">
        <f t="shared" si="1"/>
        <v>4.8</v>
      </c>
    </row>
    <row r="25" ht="14.25" customHeight="1">
      <c r="B25" s="5">
        <v>40.0</v>
      </c>
      <c r="C25" s="12" t="s">
        <v>60</v>
      </c>
      <c r="D25" s="5" t="s">
        <v>61</v>
      </c>
      <c r="E25" s="5" t="s">
        <v>62</v>
      </c>
      <c r="F25" s="6">
        <v>0.01</v>
      </c>
      <c r="G25" s="6">
        <f t="shared" si="1"/>
        <v>0.4</v>
      </c>
    </row>
    <row r="26" ht="14.25" customHeight="1">
      <c r="B26" s="5">
        <v>20.0</v>
      </c>
      <c r="C26" s="11">
        <v>2.2032041E7</v>
      </c>
      <c r="D26" s="5" t="s">
        <v>63</v>
      </c>
      <c r="E26" s="5" t="s">
        <v>64</v>
      </c>
      <c r="F26" s="6">
        <v>0.29</v>
      </c>
      <c r="G26" s="6">
        <f t="shared" si="1"/>
        <v>5.8</v>
      </c>
    </row>
    <row r="27" ht="14.25" customHeight="1">
      <c r="B27" s="5">
        <v>20.0</v>
      </c>
      <c r="C27" s="11">
        <v>2.177971042E9</v>
      </c>
      <c r="D27" s="5" t="s">
        <v>65</v>
      </c>
      <c r="E27" s="5" t="s">
        <v>66</v>
      </c>
      <c r="F27" s="6">
        <v>2.66</v>
      </c>
      <c r="G27" s="6">
        <f t="shared" si="1"/>
        <v>53.2</v>
      </c>
    </row>
    <row r="28" ht="14.25" customHeight="1">
      <c r="B28" s="5">
        <v>10.0</v>
      </c>
      <c r="C28" s="12" t="s">
        <v>67</v>
      </c>
      <c r="D28" s="5" t="s">
        <v>68</v>
      </c>
      <c r="E28" s="5" t="s">
        <v>69</v>
      </c>
      <c r="F28" s="6">
        <v>3.36</v>
      </c>
      <c r="G28" s="6">
        <f t="shared" si="1"/>
        <v>33.6</v>
      </c>
    </row>
    <row r="29" ht="14.25" customHeight="1">
      <c r="B29" s="5">
        <v>10.0</v>
      </c>
      <c r="C29" s="12" t="s">
        <v>70</v>
      </c>
      <c r="D29" s="5" t="s">
        <v>71</v>
      </c>
      <c r="E29" s="5" t="s">
        <v>72</v>
      </c>
      <c r="F29" s="6">
        <v>0.77</v>
      </c>
      <c r="G29" s="6">
        <f t="shared" si="1"/>
        <v>7.7</v>
      </c>
    </row>
    <row r="30" ht="14.25" customHeight="1">
      <c r="B30" s="5">
        <v>50.0</v>
      </c>
      <c r="C30" s="12" t="s">
        <v>73</v>
      </c>
      <c r="D30" s="5" t="s">
        <v>74</v>
      </c>
      <c r="E30" s="5" t="s">
        <v>75</v>
      </c>
      <c r="F30" s="6">
        <v>0.24</v>
      </c>
      <c r="G30" s="6">
        <f t="shared" si="1"/>
        <v>12</v>
      </c>
    </row>
    <row r="31" ht="14.25" customHeight="1">
      <c r="B31" s="5">
        <v>10.0</v>
      </c>
      <c r="C31" s="12" t="s">
        <v>76</v>
      </c>
      <c r="D31" s="5" t="s">
        <v>77</v>
      </c>
      <c r="E31" s="5" t="s">
        <v>78</v>
      </c>
      <c r="F31" s="6">
        <v>0.61</v>
      </c>
      <c r="G31" s="6">
        <f t="shared" si="1"/>
        <v>6.1</v>
      </c>
    </row>
    <row r="32" ht="14.25" customHeight="1">
      <c r="B32" s="5">
        <v>10.0</v>
      </c>
      <c r="C32" s="12" t="s">
        <v>79</v>
      </c>
      <c r="D32" s="5" t="s">
        <v>80</v>
      </c>
      <c r="E32" s="5" t="s">
        <v>81</v>
      </c>
      <c r="F32" s="6">
        <v>0.14</v>
      </c>
      <c r="G32" s="6">
        <f t="shared" si="1"/>
        <v>1.4</v>
      </c>
    </row>
    <row r="33" ht="14.25" customHeight="1">
      <c r="B33" s="5">
        <v>100.0</v>
      </c>
      <c r="C33" s="12" t="s">
        <v>82</v>
      </c>
      <c r="D33" s="5" t="s">
        <v>83</v>
      </c>
      <c r="E33" s="5" t="s">
        <v>84</v>
      </c>
      <c r="F33" s="6">
        <v>0.01</v>
      </c>
      <c r="G33" s="6">
        <f t="shared" si="1"/>
        <v>1</v>
      </c>
    </row>
    <row r="34" ht="14.25" customHeight="1">
      <c r="B34" s="5">
        <v>10.0</v>
      </c>
      <c r="C34" s="12" t="s">
        <v>85</v>
      </c>
      <c r="D34" s="5" t="s">
        <v>86</v>
      </c>
      <c r="E34" s="5" t="s">
        <v>87</v>
      </c>
      <c r="F34" s="6">
        <v>0.01</v>
      </c>
      <c r="G34" s="6">
        <f t="shared" si="1"/>
        <v>0.1</v>
      </c>
    </row>
    <row r="35" ht="14.25" customHeight="1">
      <c r="B35" s="5">
        <v>30.0</v>
      </c>
      <c r="C35" s="12" t="s">
        <v>88</v>
      </c>
      <c r="D35" s="5" t="s">
        <v>89</v>
      </c>
      <c r="E35" s="5" t="s">
        <v>90</v>
      </c>
      <c r="F35" s="6">
        <v>0.01</v>
      </c>
      <c r="G35" s="6">
        <f t="shared" si="1"/>
        <v>0.3</v>
      </c>
    </row>
    <row r="36" ht="14.25" customHeight="1">
      <c r="B36" s="5">
        <v>10.0</v>
      </c>
      <c r="C36" s="12" t="s">
        <v>91</v>
      </c>
      <c r="D36" s="5" t="s">
        <v>92</v>
      </c>
      <c r="E36" s="5" t="s">
        <v>93</v>
      </c>
      <c r="F36" s="6">
        <v>0.13</v>
      </c>
      <c r="G36" s="6">
        <f t="shared" si="1"/>
        <v>1.3</v>
      </c>
    </row>
    <row r="37" ht="14.25" customHeight="1">
      <c r="B37" s="5">
        <v>10.0</v>
      </c>
      <c r="C37" s="12" t="s">
        <v>94</v>
      </c>
      <c r="D37" s="5" t="s">
        <v>95</v>
      </c>
      <c r="E37" s="5" t="s">
        <v>96</v>
      </c>
      <c r="F37" s="6">
        <v>1.26</v>
      </c>
      <c r="G37" s="6">
        <f t="shared" si="1"/>
        <v>12.6</v>
      </c>
    </row>
    <row r="38" ht="14.25" customHeight="1">
      <c r="B38" s="5">
        <v>10.0</v>
      </c>
      <c r="C38" s="12" t="s">
        <v>97</v>
      </c>
      <c r="D38" s="5" t="s">
        <v>98</v>
      </c>
      <c r="E38" s="5" t="s">
        <v>96</v>
      </c>
      <c r="F38" s="6">
        <v>1.26</v>
      </c>
      <c r="G38" s="6">
        <f t="shared" si="1"/>
        <v>12.6</v>
      </c>
    </row>
    <row r="39" ht="14.25" customHeight="1">
      <c r="B39" s="5">
        <v>20.0</v>
      </c>
      <c r="C39" s="12" t="s">
        <v>99</v>
      </c>
      <c r="D39" s="5" t="s">
        <v>100</v>
      </c>
      <c r="E39" s="5" t="s">
        <v>101</v>
      </c>
      <c r="F39" s="6">
        <v>1.24</v>
      </c>
      <c r="G39" s="6">
        <f t="shared" si="1"/>
        <v>24.8</v>
      </c>
    </row>
    <row r="40" ht="14.25" customHeight="1">
      <c r="B40" s="5">
        <v>20.0</v>
      </c>
      <c r="C40" s="12" t="s">
        <v>102</v>
      </c>
      <c r="D40" s="5" t="s">
        <v>103</v>
      </c>
      <c r="E40" s="5" t="s">
        <v>104</v>
      </c>
      <c r="F40" s="6">
        <v>0.72</v>
      </c>
      <c r="G40" s="6">
        <f t="shared" si="1"/>
        <v>14.4</v>
      </c>
    </row>
    <row r="41" ht="14.25" customHeight="1">
      <c r="B41" s="5">
        <v>20.0</v>
      </c>
      <c r="C41" s="12" t="s">
        <v>105</v>
      </c>
      <c r="D41" s="5" t="s">
        <v>106</v>
      </c>
      <c r="E41" s="5" t="s">
        <v>107</v>
      </c>
      <c r="F41" s="6">
        <v>0.91</v>
      </c>
      <c r="G41" s="6">
        <f t="shared" si="1"/>
        <v>18.2</v>
      </c>
    </row>
    <row r="42" ht="14.25" customHeight="1">
      <c r="B42" s="5">
        <v>40.0</v>
      </c>
      <c r="C42" s="12" t="s">
        <v>108</v>
      </c>
      <c r="D42" s="5" t="s">
        <v>109</v>
      </c>
      <c r="E42" s="5" t="s">
        <v>109</v>
      </c>
      <c r="F42" s="6">
        <v>1.55</v>
      </c>
      <c r="G42" s="6">
        <f t="shared" si="1"/>
        <v>62</v>
      </c>
    </row>
    <row r="43" ht="14.25" customHeight="1">
      <c r="B43" s="5">
        <v>20.0</v>
      </c>
      <c r="C43" s="12" t="s">
        <v>110</v>
      </c>
      <c r="D43" s="5" t="s">
        <v>111</v>
      </c>
      <c r="E43" s="5" t="s">
        <v>112</v>
      </c>
      <c r="F43" s="6">
        <v>0.03</v>
      </c>
      <c r="G43" s="6">
        <f t="shared" si="1"/>
        <v>0.6</v>
      </c>
    </row>
    <row r="44" ht="14.25" customHeight="1">
      <c r="B44" s="5">
        <v>10.0</v>
      </c>
      <c r="C44" s="12" t="s">
        <v>113</v>
      </c>
      <c r="D44" s="5" t="s">
        <v>114</v>
      </c>
      <c r="E44" s="5" t="s">
        <v>115</v>
      </c>
      <c r="F44" s="6">
        <v>2.27</v>
      </c>
      <c r="G44" s="6">
        <f t="shared" si="1"/>
        <v>22.7</v>
      </c>
    </row>
    <row r="45" ht="14.25" customHeight="1">
      <c r="B45" s="5">
        <v>2.0</v>
      </c>
      <c r="C45" s="10">
        <v>1675.0</v>
      </c>
      <c r="D45" s="5"/>
      <c r="E45" s="5" t="s">
        <v>116</v>
      </c>
      <c r="F45" s="6">
        <v>2.95</v>
      </c>
      <c r="G45" s="6">
        <f t="shared" si="1"/>
        <v>5.9</v>
      </c>
    </row>
    <row r="46" ht="14.25" customHeight="1">
      <c r="B46" s="5">
        <v>10.0</v>
      </c>
      <c r="C46" s="5" t="s">
        <v>117</v>
      </c>
      <c r="D46" s="5"/>
      <c r="E46" s="5" t="s">
        <v>118</v>
      </c>
      <c r="F46" s="6">
        <v>4.75</v>
      </c>
      <c r="G46" s="6">
        <f t="shared" si="1"/>
        <v>47.5</v>
      </c>
    </row>
    <row r="47" ht="14.25" customHeight="1">
      <c r="B47" s="5"/>
      <c r="C47" s="5"/>
      <c r="D47" s="5"/>
      <c r="E47" s="5"/>
      <c r="F47" s="13" t="s">
        <v>119</v>
      </c>
      <c r="G47" s="6">
        <f>SUM(G4:G46)</f>
        <v>1469.05</v>
      </c>
    </row>
    <row r="48" ht="14.25" customHeight="1">
      <c r="B48" s="14"/>
      <c r="C48" s="14"/>
      <c r="D48" s="14"/>
      <c r="E48" s="14"/>
      <c r="F48" s="14"/>
      <c r="G48" s="14"/>
    </row>
    <row r="49" ht="14.25" customHeight="1">
      <c r="B49" s="15" t="s">
        <v>120</v>
      </c>
      <c r="C49" s="2"/>
      <c r="D49" s="2"/>
      <c r="E49" s="2"/>
      <c r="F49" s="2"/>
      <c r="G49" s="3"/>
    </row>
    <row r="50" ht="14.25" customHeight="1">
      <c r="B50" s="4" t="s">
        <v>1</v>
      </c>
      <c r="C50" s="4" t="s">
        <v>2</v>
      </c>
      <c r="D50" s="4" t="s">
        <v>3</v>
      </c>
      <c r="E50" s="4" t="s">
        <v>4</v>
      </c>
      <c r="F50" s="4" t="s">
        <v>5</v>
      </c>
      <c r="G50" s="4" t="s">
        <v>6</v>
      </c>
    </row>
    <row r="51" ht="14.25" customHeight="1">
      <c r="B51" s="5">
        <v>2.0</v>
      </c>
      <c r="C51" s="12" t="s">
        <v>121</v>
      </c>
      <c r="D51" s="5" t="s">
        <v>122</v>
      </c>
      <c r="E51" s="5" t="s">
        <v>123</v>
      </c>
      <c r="F51" s="6">
        <v>7.13</v>
      </c>
      <c r="G51" s="6">
        <f t="shared" ref="G51:G77" si="2">B51*F51</f>
        <v>14.26</v>
      </c>
    </row>
    <row r="52" ht="14.25" customHeight="1">
      <c r="B52" s="5">
        <v>1.0</v>
      </c>
      <c r="C52" s="12" t="s">
        <v>124</v>
      </c>
      <c r="D52" s="5" t="s">
        <v>125</v>
      </c>
      <c r="E52" s="5" t="s">
        <v>126</v>
      </c>
      <c r="F52" s="6">
        <v>2.93</v>
      </c>
      <c r="G52" s="6">
        <f t="shared" si="2"/>
        <v>2.93</v>
      </c>
    </row>
    <row r="53" ht="14.25" customHeight="1">
      <c r="B53" s="5">
        <v>2.0</v>
      </c>
      <c r="C53" s="11">
        <v>1675.0</v>
      </c>
      <c r="D53" s="5" t="s">
        <v>127</v>
      </c>
      <c r="E53" s="5" t="s">
        <v>128</v>
      </c>
      <c r="F53" s="6">
        <v>2.95</v>
      </c>
      <c r="G53" s="6">
        <f t="shared" si="2"/>
        <v>5.9</v>
      </c>
    </row>
    <row r="54" ht="14.25" customHeight="1">
      <c r="B54" s="5">
        <v>1.0</v>
      </c>
      <c r="C54" s="5" t="s">
        <v>129</v>
      </c>
      <c r="D54" s="5"/>
      <c r="E54" s="5" t="s">
        <v>130</v>
      </c>
      <c r="F54" s="6">
        <v>106.9</v>
      </c>
      <c r="G54" s="7">
        <f t="shared" si="2"/>
        <v>106.9</v>
      </c>
    </row>
    <row r="55" ht="14.25" customHeight="1">
      <c r="B55" s="5">
        <v>10.0</v>
      </c>
      <c r="C55" s="5" t="s">
        <v>117</v>
      </c>
      <c r="D55" s="5"/>
      <c r="E55" s="5" t="s">
        <v>118</v>
      </c>
      <c r="F55" s="6">
        <v>4.75</v>
      </c>
      <c r="G55" s="7">
        <f t="shared" si="2"/>
        <v>47.5</v>
      </c>
    </row>
    <row r="56" ht="14.25" customHeight="1">
      <c r="B56" s="5">
        <v>1.0</v>
      </c>
      <c r="C56" s="5" t="s">
        <v>131</v>
      </c>
      <c r="D56" s="5"/>
      <c r="E56" s="5" t="s">
        <v>132</v>
      </c>
      <c r="F56" s="6">
        <v>70.67</v>
      </c>
      <c r="G56" s="7">
        <f t="shared" si="2"/>
        <v>70.67</v>
      </c>
    </row>
    <row r="57" ht="14.25" customHeight="1">
      <c r="B57" s="5">
        <v>10.0</v>
      </c>
      <c r="C57" s="12" t="s">
        <v>133</v>
      </c>
      <c r="D57" s="5" t="s">
        <v>134</v>
      </c>
      <c r="E57" s="5" t="s">
        <v>135</v>
      </c>
      <c r="F57" s="6">
        <v>0.85</v>
      </c>
      <c r="G57" s="7">
        <f t="shared" si="2"/>
        <v>8.5</v>
      </c>
    </row>
    <row r="58" ht="14.25" customHeight="1">
      <c r="B58" s="5">
        <v>20.0</v>
      </c>
      <c r="C58" s="12" t="s">
        <v>136</v>
      </c>
      <c r="D58" s="5" t="s">
        <v>137</v>
      </c>
      <c r="E58" s="5" t="s">
        <v>138</v>
      </c>
      <c r="F58" s="6">
        <v>0.09</v>
      </c>
      <c r="G58" s="7">
        <f t="shared" si="2"/>
        <v>1.8</v>
      </c>
    </row>
    <row r="59" ht="14.25" customHeight="1">
      <c r="B59" s="5">
        <v>1.0</v>
      </c>
      <c r="C59" s="12" t="s">
        <v>139</v>
      </c>
      <c r="D59" s="5" t="s">
        <v>140</v>
      </c>
      <c r="E59" s="5" t="s">
        <v>141</v>
      </c>
      <c r="F59" s="6">
        <v>55.0</v>
      </c>
      <c r="G59" s="7">
        <f t="shared" si="2"/>
        <v>55</v>
      </c>
    </row>
    <row r="60" ht="14.25" customHeight="1">
      <c r="B60" s="5">
        <v>1.0</v>
      </c>
      <c r="C60" s="12" t="s">
        <v>142</v>
      </c>
      <c r="D60" s="5" t="s">
        <v>143</v>
      </c>
      <c r="E60" s="5" t="s">
        <v>144</v>
      </c>
      <c r="F60" s="6">
        <v>8.0</v>
      </c>
      <c r="G60" s="7">
        <f t="shared" si="2"/>
        <v>8</v>
      </c>
    </row>
    <row r="61" ht="14.25" customHeight="1">
      <c r="B61" s="5">
        <v>1.0</v>
      </c>
      <c r="C61" s="12" t="s">
        <v>145</v>
      </c>
      <c r="D61" s="5" t="s">
        <v>146</v>
      </c>
      <c r="E61" s="5" t="s">
        <v>147</v>
      </c>
      <c r="F61" s="6">
        <v>10.0</v>
      </c>
      <c r="G61" s="7">
        <f t="shared" si="2"/>
        <v>10</v>
      </c>
    </row>
    <row r="62" ht="14.25" customHeight="1">
      <c r="B62" s="5">
        <v>1.0</v>
      </c>
      <c r="C62" s="12" t="s">
        <v>148</v>
      </c>
      <c r="D62" s="5" t="s">
        <v>149</v>
      </c>
      <c r="E62" s="5" t="s">
        <v>150</v>
      </c>
      <c r="F62" s="6">
        <v>36.79</v>
      </c>
      <c r="G62" s="7">
        <f t="shared" si="2"/>
        <v>36.79</v>
      </c>
    </row>
    <row r="63" ht="14.25" customHeight="1">
      <c r="B63" s="5">
        <v>1.0</v>
      </c>
      <c r="C63" s="12" t="s">
        <v>151</v>
      </c>
      <c r="D63" s="5" t="s">
        <v>152</v>
      </c>
      <c r="E63" s="5" t="s">
        <v>151</v>
      </c>
      <c r="F63" s="6">
        <v>1.78</v>
      </c>
      <c r="G63" s="7">
        <f t="shared" si="2"/>
        <v>1.78</v>
      </c>
    </row>
    <row r="64" ht="14.25" customHeight="1">
      <c r="B64" s="5">
        <v>10.0</v>
      </c>
      <c r="C64" s="12" t="s">
        <v>153</v>
      </c>
      <c r="D64" s="5" t="s">
        <v>154</v>
      </c>
      <c r="E64" s="5" t="s">
        <v>155</v>
      </c>
      <c r="F64" s="6">
        <v>1.871</v>
      </c>
      <c r="G64" s="7">
        <f t="shared" si="2"/>
        <v>18.71</v>
      </c>
    </row>
    <row r="65" ht="14.25" customHeight="1">
      <c r="B65" s="5">
        <v>10.0</v>
      </c>
      <c r="C65" s="12" t="s">
        <v>156</v>
      </c>
      <c r="D65" s="5" t="s">
        <v>157</v>
      </c>
      <c r="E65" s="5" t="s">
        <v>158</v>
      </c>
      <c r="F65" s="6">
        <v>0.464</v>
      </c>
      <c r="G65" s="6">
        <f t="shared" si="2"/>
        <v>4.64</v>
      </c>
    </row>
    <row r="66" ht="14.25" customHeight="1">
      <c r="B66" s="5">
        <v>10.0</v>
      </c>
      <c r="C66" s="12" t="s">
        <v>159</v>
      </c>
      <c r="D66" s="5" t="s">
        <v>160</v>
      </c>
      <c r="E66" s="5" t="s">
        <v>161</v>
      </c>
      <c r="F66" s="6">
        <v>0.813</v>
      </c>
      <c r="G66" s="6">
        <f t="shared" si="2"/>
        <v>8.13</v>
      </c>
    </row>
    <row r="67" ht="14.25" customHeight="1">
      <c r="B67" s="5">
        <v>10.0</v>
      </c>
      <c r="C67" s="12" t="s">
        <v>162</v>
      </c>
      <c r="D67" s="5" t="s">
        <v>163</v>
      </c>
      <c r="E67" s="5" t="s">
        <v>164</v>
      </c>
      <c r="F67" s="6">
        <v>0.061</v>
      </c>
      <c r="G67" s="6">
        <f t="shared" si="2"/>
        <v>0.61</v>
      </c>
    </row>
    <row r="68" ht="14.25" customHeight="1">
      <c r="B68" s="5">
        <v>25.0</v>
      </c>
      <c r="C68" s="12" t="s">
        <v>165</v>
      </c>
      <c r="D68" s="5" t="s">
        <v>166</v>
      </c>
      <c r="E68" s="5" t="s">
        <v>167</v>
      </c>
      <c r="F68" s="6">
        <v>0.0068</v>
      </c>
      <c r="G68" s="6">
        <f t="shared" si="2"/>
        <v>0.17</v>
      </c>
    </row>
    <row r="69" ht="14.25" customHeight="1">
      <c r="B69" s="5">
        <v>10.0</v>
      </c>
      <c r="C69" s="12" t="s">
        <v>168</v>
      </c>
      <c r="D69" s="5" t="s">
        <v>169</v>
      </c>
      <c r="E69" s="5" t="s">
        <v>170</v>
      </c>
      <c r="F69" s="6">
        <v>0.025</v>
      </c>
      <c r="G69" s="6">
        <f t="shared" si="2"/>
        <v>0.25</v>
      </c>
    </row>
    <row r="70" ht="14.25" customHeight="1">
      <c r="B70" s="5">
        <v>10.0</v>
      </c>
      <c r="C70" s="12" t="s">
        <v>171</v>
      </c>
      <c r="D70" s="5" t="s">
        <v>172</v>
      </c>
      <c r="E70" s="5" t="s">
        <v>173</v>
      </c>
      <c r="F70" s="6">
        <v>0.008</v>
      </c>
      <c r="G70" s="6">
        <f t="shared" si="2"/>
        <v>0.08</v>
      </c>
    </row>
    <row r="71" ht="14.25" customHeight="1">
      <c r="B71" s="5">
        <v>10.0</v>
      </c>
      <c r="C71" s="12" t="s">
        <v>174</v>
      </c>
      <c r="D71" s="5" t="s">
        <v>175</v>
      </c>
      <c r="E71" s="5" t="s">
        <v>176</v>
      </c>
      <c r="F71" s="6">
        <v>0.076</v>
      </c>
      <c r="G71" s="6">
        <f t="shared" si="2"/>
        <v>0.76</v>
      </c>
    </row>
    <row r="72" ht="14.25" customHeight="1">
      <c r="B72" s="5">
        <v>10.0</v>
      </c>
      <c r="C72" s="12" t="s">
        <v>177</v>
      </c>
      <c r="D72" s="5" t="s">
        <v>178</v>
      </c>
      <c r="E72" s="5" t="s">
        <v>179</v>
      </c>
      <c r="F72" s="6">
        <v>0.034</v>
      </c>
      <c r="G72" s="6">
        <f t="shared" si="2"/>
        <v>0.34</v>
      </c>
    </row>
    <row r="73" ht="14.25" customHeight="1">
      <c r="B73" s="5">
        <v>10.0</v>
      </c>
      <c r="C73" s="12" t="s">
        <v>180</v>
      </c>
      <c r="D73" s="5" t="s">
        <v>181</v>
      </c>
      <c r="E73" s="5" t="s">
        <v>182</v>
      </c>
      <c r="F73" s="6">
        <v>0.321</v>
      </c>
      <c r="G73" s="6">
        <f t="shared" si="2"/>
        <v>3.21</v>
      </c>
    </row>
    <row r="74" ht="14.25" customHeight="1">
      <c r="B74" s="5">
        <v>10.0</v>
      </c>
      <c r="C74" s="12" t="s">
        <v>183</v>
      </c>
      <c r="D74" s="5" t="s">
        <v>184</v>
      </c>
      <c r="E74" s="5" t="s">
        <v>185</v>
      </c>
      <c r="F74" s="6">
        <v>0.007</v>
      </c>
      <c r="G74" s="6">
        <f t="shared" si="2"/>
        <v>0.07</v>
      </c>
    </row>
    <row r="75" ht="14.25" customHeight="1">
      <c r="B75" s="5">
        <v>25.0</v>
      </c>
      <c r="C75" s="12" t="s">
        <v>76</v>
      </c>
      <c r="D75" s="5" t="s">
        <v>77</v>
      </c>
      <c r="E75" s="5" t="s">
        <v>78</v>
      </c>
      <c r="F75" s="6">
        <v>0.58</v>
      </c>
      <c r="G75" s="6">
        <f t="shared" si="2"/>
        <v>14.5</v>
      </c>
    </row>
    <row r="76" ht="14.25" customHeight="1">
      <c r="B76" s="5">
        <v>1.0</v>
      </c>
      <c r="C76" s="5" t="s">
        <v>186</v>
      </c>
      <c r="D76" s="5"/>
      <c r="E76" s="5" t="s">
        <v>187</v>
      </c>
      <c r="F76" s="6">
        <v>121.0</v>
      </c>
      <c r="G76" s="6">
        <f t="shared" si="2"/>
        <v>121</v>
      </c>
    </row>
    <row r="77" ht="14.25" customHeight="1">
      <c r="B77" s="5">
        <v>1.0</v>
      </c>
      <c r="C77" s="5" t="s">
        <v>186</v>
      </c>
      <c r="D77" s="5"/>
      <c r="E77" s="5" t="s">
        <v>188</v>
      </c>
      <c r="F77" s="6">
        <v>36.98</v>
      </c>
      <c r="G77" s="6">
        <f t="shared" si="2"/>
        <v>36.98</v>
      </c>
    </row>
    <row r="78" ht="14.25" customHeight="1">
      <c r="B78" s="16"/>
      <c r="C78" s="16"/>
      <c r="D78" s="16"/>
      <c r="E78" s="16"/>
      <c r="F78" s="13" t="s">
        <v>119</v>
      </c>
      <c r="G78" s="6">
        <f>SUM(G51:G77)</f>
        <v>579.48</v>
      </c>
    </row>
    <row r="79" ht="14.25" customHeight="1"/>
    <row r="80" ht="14.25" customHeight="1">
      <c r="B80" s="15" t="s">
        <v>189</v>
      </c>
      <c r="C80" s="2"/>
      <c r="D80" s="2"/>
      <c r="E80" s="2"/>
      <c r="F80" s="2"/>
      <c r="G80" s="3"/>
    </row>
    <row r="81" ht="14.25" customHeight="1">
      <c r="B81" s="4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</row>
    <row r="82" ht="14.25" customHeight="1">
      <c r="A82" s="17"/>
      <c r="B82" s="18">
        <v>54.0</v>
      </c>
      <c r="C82" s="19">
        <v>2.2032021E7</v>
      </c>
      <c r="D82" s="18" t="s">
        <v>49</v>
      </c>
      <c r="E82" s="18" t="s">
        <v>190</v>
      </c>
      <c r="F82" s="20">
        <v>0.18</v>
      </c>
      <c r="G82" s="20">
        <f t="shared" ref="G82:G126" si="3">B82*F82</f>
        <v>9.72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17"/>
      <c r="B83" s="18">
        <v>24.0</v>
      </c>
      <c r="C83" s="18" t="s">
        <v>60</v>
      </c>
      <c r="D83" s="18" t="s">
        <v>191</v>
      </c>
      <c r="E83" s="18" t="s">
        <v>192</v>
      </c>
      <c r="F83" s="22">
        <v>0.1</v>
      </c>
      <c r="G83" s="20">
        <f t="shared" si="3"/>
        <v>2.4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17"/>
      <c r="B84" s="18">
        <v>10.0</v>
      </c>
      <c r="C84" s="18" t="s">
        <v>193</v>
      </c>
      <c r="D84" s="18" t="s">
        <v>194</v>
      </c>
      <c r="E84" s="23" t="s">
        <v>195</v>
      </c>
      <c r="F84" s="20">
        <v>0.1</v>
      </c>
      <c r="G84" s="20">
        <f t="shared" si="3"/>
        <v>1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17"/>
      <c r="B85" s="18">
        <v>5.0</v>
      </c>
      <c r="C85" s="18" t="s">
        <v>79</v>
      </c>
      <c r="D85" s="18" t="s">
        <v>196</v>
      </c>
      <c r="E85" s="23" t="s">
        <v>197</v>
      </c>
      <c r="F85" s="20">
        <v>0.17</v>
      </c>
      <c r="G85" s="20">
        <f t="shared" si="3"/>
        <v>0.85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17"/>
      <c r="B86" s="18">
        <v>30.0</v>
      </c>
      <c r="C86" s="18" t="s">
        <v>54</v>
      </c>
      <c r="D86" s="23" t="s">
        <v>198</v>
      </c>
      <c r="E86" s="18" t="s">
        <v>199</v>
      </c>
      <c r="F86" s="20">
        <v>0.1</v>
      </c>
      <c r="G86" s="20">
        <f t="shared" si="3"/>
        <v>3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17"/>
      <c r="B87" s="18">
        <v>30.0</v>
      </c>
      <c r="C87" s="18" t="s">
        <v>82</v>
      </c>
      <c r="D87" s="23" t="s">
        <v>200</v>
      </c>
      <c r="E87" s="23" t="s">
        <v>201</v>
      </c>
      <c r="F87" s="20">
        <v>0.1</v>
      </c>
      <c r="G87" s="20">
        <f t="shared" si="3"/>
        <v>3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17"/>
      <c r="B88" s="18">
        <v>5.0</v>
      </c>
      <c r="C88" s="18" t="s">
        <v>70</v>
      </c>
      <c r="D88" s="18" t="s">
        <v>202</v>
      </c>
      <c r="E88" s="18" t="s">
        <v>203</v>
      </c>
      <c r="F88" s="20">
        <v>0.89</v>
      </c>
      <c r="G88" s="20">
        <f t="shared" si="3"/>
        <v>4.45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17"/>
      <c r="B89" s="18">
        <v>10.0</v>
      </c>
      <c r="C89" s="19">
        <v>2.2032041E7</v>
      </c>
      <c r="D89" s="18" t="s">
        <v>63</v>
      </c>
      <c r="E89" s="23" t="s">
        <v>204</v>
      </c>
      <c r="F89" s="20">
        <v>0.34</v>
      </c>
      <c r="G89" s="20">
        <f t="shared" si="3"/>
        <v>3.4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17"/>
      <c r="B90" s="18">
        <v>5.0</v>
      </c>
      <c r="C90" s="18" t="s">
        <v>105</v>
      </c>
      <c r="D90" s="18" t="s">
        <v>205</v>
      </c>
      <c r="E90" s="23" t="s">
        <v>206</v>
      </c>
      <c r="F90" s="20">
        <v>1.44</v>
      </c>
      <c r="G90" s="20">
        <f t="shared" si="3"/>
        <v>7.2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17"/>
      <c r="B91" s="24">
        <v>10.0</v>
      </c>
      <c r="C91" s="25" t="s">
        <v>207</v>
      </c>
      <c r="D91" s="25" t="s">
        <v>208</v>
      </c>
      <c r="E91" s="24" t="s">
        <v>209</v>
      </c>
      <c r="F91" s="26">
        <v>0.96</v>
      </c>
      <c r="G91" s="26">
        <f t="shared" si="3"/>
        <v>9.6</v>
      </c>
      <c r="H91" s="27" t="s">
        <v>210</v>
      </c>
    </row>
    <row r="92" ht="14.25" customHeight="1">
      <c r="A92" s="17"/>
      <c r="B92" s="18">
        <v>10.0</v>
      </c>
      <c r="C92" s="18" t="s">
        <v>211</v>
      </c>
      <c r="D92" s="18" t="s">
        <v>212</v>
      </c>
      <c r="E92" s="18" t="s">
        <v>213</v>
      </c>
      <c r="F92" s="20">
        <v>0.1</v>
      </c>
      <c r="G92" s="20">
        <f t="shared" si="3"/>
        <v>1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17"/>
      <c r="B93" s="18">
        <v>5.0</v>
      </c>
      <c r="C93" s="18" t="s">
        <v>91</v>
      </c>
      <c r="D93" s="18" t="s">
        <v>214</v>
      </c>
      <c r="E93" s="18" t="s">
        <v>215</v>
      </c>
      <c r="F93" s="20">
        <v>0.24</v>
      </c>
      <c r="G93" s="20">
        <f t="shared" si="3"/>
        <v>1.2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17"/>
      <c r="B94" s="18">
        <v>10.0</v>
      </c>
      <c r="C94" s="18" t="s">
        <v>51</v>
      </c>
      <c r="D94" s="18" t="s">
        <v>216</v>
      </c>
      <c r="E94" s="18" t="s">
        <v>217</v>
      </c>
      <c r="F94" s="20">
        <v>0.18</v>
      </c>
      <c r="G94" s="20">
        <f t="shared" si="3"/>
        <v>1.8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17"/>
      <c r="B95" s="18">
        <v>5.0</v>
      </c>
      <c r="C95" s="18" t="s">
        <v>162</v>
      </c>
      <c r="D95" s="18" t="s">
        <v>163</v>
      </c>
      <c r="E95" s="18" t="s">
        <v>218</v>
      </c>
      <c r="F95" s="20">
        <v>0.11</v>
      </c>
      <c r="G95" s="20">
        <f t="shared" si="3"/>
        <v>0.55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17"/>
      <c r="B96" s="18">
        <v>10.0</v>
      </c>
      <c r="C96" s="18" t="s">
        <v>219</v>
      </c>
      <c r="D96" s="18" t="s">
        <v>220</v>
      </c>
      <c r="E96" s="18" t="s">
        <v>221</v>
      </c>
      <c r="F96" s="20">
        <v>0.1</v>
      </c>
      <c r="G96" s="20">
        <f t="shared" si="3"/>
        <v>1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17"/>
      <c r="B97" s="18">
        <v>5.0</v>
      </c>
      <c r="C97" s="18" t="s">
        <v>67</v>
      </c>
      <c r="D97" s="18" t="s">
        <v>222</v>
      </c>
      <c r="E97" s="18" t="s">
        <v>223</v>
      </c>
      <c r="F97" s="20">
        <v>4.43</v>
      </c>
      <c r="G97" s="20">
        <f t="shared" si="3"/>
        <v>22.15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17"/>
      <c r="B98" s="18">
        <v>15.0</v>
      </c>
      <c r="C98" s="18" t="s">
        <v>76</v>
      </c>
      <c r="D98" s="18" t="s">
        <v>77</v>
      </c>
      <c r="E98" s="18" t="s">
        <v>224</v>
      </c>
      <c r="F98" s="20">
        <v>0.73</v>
      </c>
      <c r="G98" s="20">
        <f t="shared" si="3"/>
        <v>10.95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17"/>
      <c r="B99" s="18">
        <v>10.0</v>
      </c>
      <c r="C99" s="18" t="s">
        <v>225</v>
      </c>
      <c r="D99" s="18" t="s">
        <v>226</v>
      </c>
      <c r="E99" s="18" t="s">
        <v>227</v>
      </c>
      <c r="F99" s="20">
        <v>0.1</v>
      </c>
      <c r="G99" s="20">
        <f t="shared" si="3"/>
        <v>1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17"/>
      <c r="B100" s="18">
        <v>5.0</v>
      </c>
      <c r="C100" s="18" t="s">
        <v>177</v>
      </c>
      <c r="D100" s="18" t="s">
        <v>178</v>
      </c>
      <c r="E100" s="18" t="s">
        <v>228</v>
      </c>
      <c r="F100" s="20">
        <v>0.1</v>
      </c>
      <c r="G100" s="20">
        <f t="shared" si="3"/>
        <v>0.5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17"/>
      <c r="B101" s="18">
        <v>20.0</v>
      </c>
      <c r="C101" s="18" t="s">
        <v>229</v>
      </c>
      <c r="D101" s="18" t="s">
        <v>230</v>
      </c>
      <c r="E101" s="18" t="s">
        <v>231</v>
      </c>
      <c r="F101" s="20">
        <v>0.21</v>
      </c>
      <c r="G101" s="20">
        <f t="shared" si="3"/>
        <v>4.2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17"/>
      <c r="B102" s="18">
        <v>5.0</v>
      </c>
      <c r="C102" s="18" t="s">
        <v>99</v>
      </c>
      <c r="D102" s="18" t="s">
        <v>232</v>
      </c>
      <c r="E102" s="18" t="s">
        <v>233</v>
      </c>
      <c r="F102" s="20">
        <v>2.04</v>
      </c>
      <c r="G102" s="20">
        <f t="shared" si="3"/>
        <v>10.2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17"/>
      <c r="B103" s="18">
        <v>5.0</v>
      </c>
      <c r="C103" s="18" t="s">
        <v>171</v>
      </c>
      <c r="D103" s="18" t="s">
        <v>172</v>
      </c>
      <c r="E103" s="18" t="s">
        <v>234</v>
      </c>
      <c r="F103" s="20">
        <v>0.1</v>
      </c>
      <c r="G103" s="20">
        <f t="shared" si="3"/>
        <v>0.5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17"/>
      <c r="B104" s="18">
        <v>10.0</v>
      </c>
      <c r="C104" s="18" t="s">
        <v>235</v>
      </c>
      <c r="D104" s="18" t="s">
        <v>236</v>
      </c>
      <c r="E104" s="18" t="s">
        <v>237</v>
      </c>
      <c r="F104" s="20">
        <v>0.1</v>
      </c>
      <c r="G104" s="20">
        <f t="shared" si="3"/>
        <v>1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17"/>
      <c r="B105" s="18">
        <v>5.0</v>
      </c>
      <c r="C105" s="18" t="s">
        <v>94</v>
      </c>
      <c r="D105" s="18" t="s">
        <v>238</v>
      </c>
      <c r="E105" s="18" t="s">
        <v>239</v>
      </c>
      <c r="F105" s="20">
        <v>1.56</v>
      </c>
      <c r="G105" s="20">
        <f t="shared" si="3"/>
        <v>7.8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17"/>
      <c r="B106" s="18">
        <v>5.0</v>
      </c>
      <c r="C106" s="18" t="s">
        <v>113</v>
      </c>
      <c r="D106" s="18" t="s">
        <v>114</v>
      </c>
      <c r="E106" s="18" t="s">
        <v>240</v>
      </c>
      <c r="F106" s="20">
        <v>2.95</v>
      </c>
      <c r="G106" s="20">
        <f t="shared" si="3"/>
        <v>14.75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17"/>
      <c r="B107" s="18">
        <v>5.0</v>
      </c>
      <c r="C107" s="18" t="s">
        <v>133</v>
      </c>
      <c r="D107" s="18" t="s">
        <v>134</v>
      </c>
      <c r="E107" s="18" t="s">
        <v>241</v>
      </c>
      <c r="F107" s="20">
        <v>0.94</v>
      </c>
      <c r="G107" s="20">
        <f t="shared" si="3"/>
        <v>4.7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17"/>
      <c r="B108" s="18">
        <v>10.0</v>
      </c>
      <c r="C108" s="18" t="s">
        <v>108</v>
      </c>
      <c r="D108" s="18" t="s">
        <v>242</v>
      </c>
      <c r="E108" s="18" t="s">
        <v>243</v>
      </c>
      <c r="F108" s="20">
        <v>2.37</v>
      </c>
      <c r="G108" s="20">
        <f t="shared" si="3"/>
        <v>23.7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17"/>
      <c r="B109" s="18">
        <v>20.0</v>
      </c>
      <c r="C109" s="18" t="s">
        <v>244</v>
      </c>
      <c r="D109" s="18" t="s">
        <v>245</v>
      </c>
      <c r="E109" s="18" t="s">
        <v>246</v>
      </c>
      <c r="F109" s="20">
        <v>0.11</v>
      </c>
      <c r="G109" s="20">
        <f t="shared" si="3"/>
        <v>2.2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17"/>
      <c r="B110" s="18">
        <v>10.0</v>
      </c>
      <c r="C110" s="18" t="s">
        <v>247</v>
      </c>
      <c r="D110" s="18" t="s">
        <v>248</v>
      </c>
      <c r="E110" s="18" t="s">
        <v>249</v>
      </c>
      <c r="F110" s="20">
        <v>0.1</v>
      </c>
      <c r="G110" s="20">
        <f t="shared" si="3"/>
        <v>1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17"/>
      <c r="B111" s="18">
        <v>20.0</v>
      </c>
      <c r="C111" s="18" t="s">
        <v>250</v>
      </c>
      <c r="D111" s="18" t="s">
        <v>251</v>
      </c>
      <c r="E111" s="18" t="s">
        <v>252</v>
      </c>
      <c r="F111" s="20">
        <v>0.62</v>
      </c>
      <c r="G111" s="20">
        <f t="shared" si="3"/>
        <v>12.4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17"/>
      <c r="B112" s="18">
        <v>10.0</v>
      </c>
      <c r="C112" s="18" t="s">
        <v>253</v>
      </c>
      <c r="D112" s="18" t="s">
        <v>254</v>
      </c>
      <c r="E112" s="18" t="s">
        <v>255</v>
      </c>
      <c r="F112" s="20">
        <v>0.22</v>
      </c>
      <c r="G112" s="20">
        <f t="shared" si="3"/>
        <v>2.2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17"/>
      <c r="B113" s="18">
        <v>10.0</v>
      </c>
      <c r="C113" s="18" t="s">
        <v>88</v>
      </c>
      <c r="D113" s="18" t="s">
        <v>256</v>
      </c>
      <c r="E113" s="18" t="s">
        <v>257</v>
      </c>
      <c r="F113" s="22">
        <v>0.1</v>
      </c>
      <c r="G113" s="20">
        <f t="shared" si="3"/>
        <v>1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17"/>
      <c r="B114" s="18">
        <v>10.0</v>
      </c>
      <c r="C114" s="18" t="s">
        <v>85</v>
      </c>
      <c r="D114" s="18" t="s">
        <v>258</v>
      </c>
      <c r="E114" s="18" t="s">
        <v>259</v>
      </c>
      <c r="F114" s="20">
        <v>0.1</v>
      </c>
      <c r="G114" s="20">
        <f t="shared" si="3"/>
        <v>1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17"/>
      <c r="B115" s="18">
        <v>20.0</v>
      </c>
      <c r="C115" s="18" t="s">
        <v>260</v>
      </c>
      <c r="D115" s="18" t="s">
        <v>261</v>
      </c>
      <c r="E115" s="18" t="s">
        <v>262</v>
      </c>
      <c r="F115" s="20">
        <v>0.1</v>
      </c>
      <c r="G115" s="20">
        <f t="shared" si="3"/>
        <v>2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17"/>
      <c r="B116" s="18">
        <v>5.0</v>
      </c>
      <c r="C116" s="18" t="s">
        <v>97</v>
      </c>
      <c r="D116" s="18" t="s">
        <v>263</v>
      </c>
      <c r="E116" s="18" t="s">
        <v>264</v>
      </c>
      <c r="F116" s="20">
        <v>1.59</v>
      </c>
      <c r="G116" s="20">
        <f t="shared" si="3"/>
        <v>7.95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17"/>
      <c r="B117" s="18">
        <v>5.0</v>
      </c>
      <c r="C117" s="18" t="s">
        <v>41</v>
      </c>
      <c r="D117" s="18" t="s">
        <v>265</v>
      </c>
      <c r="E117" s="18" t="s">
        <v>41</v>
      </c>
      <c r="F117" s="20">
        <v>1.83</v>
      </c>
      <c r="G117" s="20">
        <f t="shared" si="3"/>
        <v>9.15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B118" s="12">
        <v>5.0</v>
      </c>
      <c r="C118" s="12" t="s">
        <v>266</v>
      </c>
      <c r="D118" s="12"/>
      <c r="E118" s="12" t="s">
        <v>267</v>
      </c>
      <c r="F118" s="28">
        <v>4.75</v>
      </c>
      <c r="G118" s="28">
        <f t="shared" si="3"/>
        <v>23.75</v>
      </c>
    </row>
    <row r="119" ht="14.25" customHeight="1">
      <c r="B119" s="12">
        <v>10.0</v>
      </c>
      <c r="C119" s="12" t="s">
        <v>268</v>
      </c>
      <c r="D119" s="12"/>
      <c r="E119" s="12" t="s">
        <v>269</v>
      </c>
      <c r="F119" s="28">
        <v>35.72</v>
      </c>
      <c r="G119" s="28">
        <f t="shared" si="3"/>
        <v>357.2</v>
      </c>
    </row>
    <row r="120" ht="14.25" customHeight="1">
      <c r="B120" s="12">
        <v>1.0</v>
      </c>
      <c r="C120" s="12" t="s">
        <v>270</v>
      </c>
      <c r="D120" s="12"/>
      <c r="E120" s="12" t="s">
        <v>271</v>
      </c>
      <c r="F120" s="28">
        <v>216.8</v>
      </c>
      <c r="G120" s="28">
        <f t="shared" si="3"/>
        <v>216.8</v>
      </c>
    </row>
    <row r="121" ht="14.25" customHeight="1">
      <c r="B121" s="12">
        <v>1.0</v>
      </c>
      <c r="C121" s="12" t="s">
        <v>270</v>
      </c>
      <c r="D121" s="12"/>
      <c r="E121" s="12" t="s">
        <v>272</v>
      </c>
      <c r="F121" s="28">
        <v>68.07</v>
      </c>
      <c r="G121" s="28">
        <f t="shared" si="3"/>
        <v>68.07</v>
      </c>
    </row>
    <row r="122" ht="14.25" customHeight="1">
      <c r="B122" s="29">
        <v>2.0</v>
      </c>
      <c r="C122" s="30">
        <v>4410.0</v>
      </c>
      <c r="D122" s="29" t="s">
        <v>273</v>
      </c>
      <c r="E122" s="29" t="s">
        <v>274</v>
      </c>
      <c r="F122" s="31">
        <v>5.95</v>
      </c>
      <c r="G122" s="28">
        <f t="shared" si="3"/>
        <v>11.9</v>
      </c>
    </row>
    <row r="123" ht="14.25" customHeight="1">
      <c r="B123" s="29">
        <v>2.0</v>
      </c>
      <c r="C123" s="30">
        <v>4410.0</v>
      </c>
      <c r="D123" s="32" t="s">
        <v>273</v>
      </c>
      <c r="E123" s="32" t="s">
        <v>274</v>
      </c>
      <c r="F123" s="31">
        <v>5.95</v>
      </c>
      <c r="G123" s="28">
        <f t="shared" si="3"/>
        <v>11.9</v>
      </c>
    </row>
    <row r="124" ht="14.25" customHeight="1">
      <c r="B124" s="29">
        <v>2.0</v>
      </c>
      <c r="C124" s="33">
        <v>15217.0</v>
      </c>
      <c r="D124" s="32" t="s">
        <v>275</v>
      </c>
      <c r="E124" s="32" t="s">
        <v>276</v>
      </c>
      <c r="F124" s="31"/>
      <c r="G124" s="28">
        <f t="shared" si="3"/>
        <v>0</v>
      </c>
    </row>
    <row r="125" ht="14.25" customHeight="1">
      <c r="B125" s="29">
        <v>10.0</v>
      </c>
      <c r="C125" s="32" t="s">
        <v>79</v>
      </c>
      <c r="D125" s="32" t="s">
        <v>80</v>
      </c>
      <c r="E125" s="32" t="s">
        <v>277</v>
      </c>
      <c r="F125" s="31"/>
      <c r="G125" s="28">
        <f t="shared" si="3"/>
        <v>0</v>
      </c>
    </row>
    <row r="126" ht="14.25" customHeight="1">
      <c r="B126" s="29">
        <v>20.0</v>
      </c>
      <c r="C126" s="32" t="s">
        <v>260</v>
      </c>
      <c r="D126" s="32" t="s">
        <v>278</v>
      </c>
      <c r="E126" s="32" t="s">
        <v>279</v>
      </c>
      <c r="F126" s="31"/>
      <c r="G126" s="28">
        <f t="shared" si="3"/>
        <v>0</v>
      </c>
    </row>
    <row r="127" ht="14.25" customHeight="1">
      <c r="F127" s="34" t="s">
        <v>119</v>
      </c>
      <c r="G127" s="28">
        <f>SUM(G83:G126)</f>
        <v>870.42</v>
      </c>
    </row>
    <row r="128" ht="14.25" customHeight="1">
      <c r="C128" s="35" t="s">
        <v>280</v>
      </c>
      <c r="D128" s="36"/>
    </row>
    <row r="129" ht="14.25" customHeight="1">
      <c r="C129" s="37" t="s">
        <v>281</v>
      </c>
      <c r="D129" s="38">
        <f>SUM(G92:G122,G82:G90,G64:G77,G58,G57,G51:G55,G17:G46,G12,G10,G7,G6,G5)</f>
        <v>1957.48</v>
      </c>
    </row>
    <row r="130" ht="14.25" customHeight="1">
      <c r="C130" s="39" t="s">
        <v>282</v>
      </c>
      <c r="D130" s="40">
        <f>SUM(G63,G62,G61,G60,G59,G14,G11,G9,G8,G4,G13)</f>
        <v>827.05</v>
      </c>
    </row>
    <row r="131" ht="14.25" customHeight="1">
      <c r="C131" s="39" t="s">
        <v>283</v>
      </c>
      <c r="D131" s="40">
        <f>SUM(G56,G16,G15)</f>
        <v>122.64</v>
      </c>
      <c r="F131" s="41">
        <f>sum(G92:G117)+sum(G122)+sum(G82:G90)</f>
        <v>192.82</v>
      </c>
    </row>
    <row r="132" ht="14.25" customHeight="1">
      <c r="C132" s="39" t="s">
        <v>284</v>
      </c>
      <c r="D132" s="40">
        <v>120.36</v>
      </c>
    </row>
    <row r="133" ht="14.25" customHeight="1">
      <c r="C133" s="39" t="s">
        <v>280</v>
      </c>
      <c r="D133" s="42">
        <f>SUM(D129,D130,D131,D132)-100.63</f>
        <v>2926.9</v>
      </c>
    </row>
    <row r="134" ht="14.25" customHeight="1">
      <c r="C134" s="39" t="s">
        <v>285</v>
      </c>
      <c r="D134" s="40">
        <v>3250.0</v>
      </c>
    </row>
    <row r="135" ht="14.25" customHeight="1">
      <c r="C135" s="43" t="s">
        <v>286</v>
      </c>
      <c r="D135" s="44">
        <f>D134-D133</f>
        <v>323.1</v>
      </c>
    </row>
    <row r="136" ht="14.25" customHeight="1"/>
    <row r="137" ht="14.25" customHeight="1"/>
    <row r="138" ht="14.25" customHeight="1">
      <c r="C138" s="45" t="s">
        <v>287</v>
      </c>
      <c r="D138" s="3"/>
    </row>
    <row r="139" ht="14.25" customHeight="1">
      <c r="C139" s="46" t="s">
        <v>288</v>
      </c>
      <c r="D139" s="47">
        <f>D143-D142-D141-D140</f>
        <v>1894.01</v>
      </c>
    </row>
    <row r="140" ht="14.25" customHeight="1">
      <c r="C140" s="46" t="s">
        <v>289</v>
      </c>
      <c r="D140" s="48">
        <v>827.05</v>
      </c>
    </row>
    <row r="141" ht="14.25" customHeight="1">
      <c r="C141" s="46" t="s">
        <v>290</v>
      </c>
      <c r="D141" s="48">
        <v>122.64</v>
      </c>
    </row>
    <row r="142" ht="14.25" customHeight="1">
      <c r="C142" s="46" t="s">
        <v>284</v>
      </c>
      <c r="D142" s="48">
        <v>120.36</v>
      </c>
    </row>
    <row r="143" ht="14.25" customHeight="1">
      <c r="C143" s="46" t="s">
        <v>291</v>
      </c>
      <c r="D143" s="48">
        <v>2964.06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5">
    <mergeCell ref="B2:G2"/>
    <mergeCell ref="B49:G49"/>
    <mergeCell ref="B80:G80"/>
    <mergeCell ref="C128:D128"/>
    <mergeCell ref="C138:D1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2026-03-18T04:58:02Z</dcterms:created>
  <dc:creator>Ethan Hartman</dc:creator>
</cp:coreProperties>
</file>