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>
    <definedName hidden="1" localSheetId="0" name="_xlnm._FilterDatabase">Sheet1!$B$4:$G$23</definedName>
  </definedNames>
  <calcPr/>
</workbook>
</file>

<file path=xl/sharedStrings.xml><?xml version="1.0" encoding="utf-8"?>
<sst xmlns="http://schemas.openxmlformats.org/spreadsheetml/2006/main" count="61" uniqueCount="45">
  <si>
    <t>Part Number</t>
  </si>
  <si>
    <t>Description</t>
  </si>
  <si>
    <t>Price</t>
  </si>
  <si>
    <t>Quantity</t>
  </si>
  <si>
    <t>Total</t>
  </si>
  <si>
    <t>Link</t>
  </si>
  <si>
    <t>OSH Park PCB's</t>
  </si>
  <si>
    <t>3 six layer PCBs from OSH Park</t>
  </si>
  <si>
    <t>N/A</t>
  </si>
  <si>
    <t>OSH Stencil</t>
  </si>
  <si>
    <t>Stencil board from OSH Stencil</t>
  </si>
  <si>
    <t>296-LM48511SQX/NOPBTR-ND</t>
  </si>
  <si>
    <t>Amplifier IC 1-Channel (Mono) Class D 24-WQFN (4x5)</t>
  </si>
  <si>
    <t>digikey</t>
  </si>
  <si>
    <t>DFLS230LHDITR-ND</t>
  </si>
  <si>
    <t>Diode 30 V 2A Surface Mount PowerDI™ 123</t>
  </si>
  <si>
    <t>541-1011-2-ND</t>
  </si>
  <si>
    <t>6.8 µH Shielded Molded Inductor 4.5 A 60mOhm Max Nonstandard</t>
  </si>
  <si>
    <t>13-CC0402KRX5R6BB184TR-ND</t>
  </si>
  <si>
    <t>0.18 µF ±10% 10V Ceramic Capacitor X5R 0402 (1005 Metric)</t>
  </si>
  <si>
    <t>311-20.0KHRTR-ND</t>
  </si>
  <si>
    <t>20 kOhms ±1% 0.1W, 1/10W Chip Resistor 0603 (1608 Metric) Moisture Resistant Thick Film</t>
  </si>
  <si>
    <t>CR0603-FX-4871ELFTR-ND</t>
  </si>
  <si>
    <t>4.87 kOhms ±1% 0.1W, 1/10W Chip Resistor 0603 (1608 Metric) Moisture Resistant Thick Film</t>
  </si>
  <si>
    <t>311-9.31KHRTR-ND</t>
  </si>
  <si>
    <t>9.31 kOhms ±1% 0.1W, 1/10W Chip Resistor 0603 (1608 Metric) Moisture Resistant Thick Film</t>
  </si>
  <si>
    <t>738-RNCF0603BTE2K50TR-ND</t>
  </si>
  <si>
    <t>2.5 kOhms ±0.1% 0.167W, 1/6W Chip Resistor 0603 (1608 Metric) Automotive AEC-Q200 Thin Film</t>
  </si>
  <si>
    <t>311-1185-2-ND</t>
  </si>
  <si>
    <t>270 pF ±10% 50V Ceramic Capacitor X7R 0603 (1608 Metric)</t>
  </si>
  <si>
    <t>490-13980-2-ND</t>
  </si>
  <si>
    <t>100 µF ±20% 4V Ceramic Capacitor X5R 0805 (2012 Metric)</t>
  </si>
  <si>
    <t>311-25.5KHRTR-ND</t>
  </si>
  <si>
    <t>25.5 kOhms ±1% 0.1W, 1/10W Chip Resistor 0603 (1608 Metric) Moisture Resistant Thick Film</t>
  </si>
  <si>
    <t>2648-SC0445-ND</t>
  </si>
  <si>
    <t>AC/DC WALL MNT ADAPTER 5.1V 15W</t>
  </si>
  <si>
    <t>1490-1073-ND</t>
  </si>
  <si>
    <t>USB DONGLE NRF52840 PCA10059</t>
  </si>
  <si>
    <t>2648-SC0193(11)-ND</t>
  </si>
  <si>
    <t>SBC 1.5GHZ 4 CORE 2GB PI 4 MOD B</t>
  </si>
  <si>
    <t>1188-USB-CARD-READER-ND</t>
  </si>
  <si>
    <t>USB-CARD-READER</t>
  </si>
  <si>
    <t>2648-SC1629-ND</t>
  </si>
  <si>
    <t>MEM CARD MICROSD 64GB CLASS 10</t>
  </si>
  <si>
    <t>TOTAL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</si>
</sst>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&quot;$&quot;#,##0.00"/>
  </numFmts>
  <fonts count="5">
    <font>
      <sz val="10.0"/>
      <color rgb="FF000000"/>
      <name val="Arial"/>
      <scheme val="minor"/>
    </font>
    <font>
      <b/>
      <sz val="14.0"/>
      <color theme="1"/>
      <name val="Arial"/>
      <scheme val="minor"/>
    </font>
    <font>
      <color theme="1"/>
      <name val="Arial"/>
      <scheme val="minor"/>
    </font>
    <font>
      <u/>
      <color rgb="FF0000FF"/>
    </font>
    <font>
      <u/>
      <color rgb="FF0000FF"/>
    </font>
  </fonts>
  <fills count="2">
    <fill>
      <patternFill patternType="none"/>
    </fill>
    <fill>
      <patternFill patternType="lightGray"/>
    </fill>
  </fills>
  <borders count="14">
    <border/>
    <border>
      <left style="thick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ck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ck">
        <color rgb="FF000000"/>
      </top>
      <bottom style="thick">
        <color rgb="FF000000"/>
      </bottom>
    </border>
    <border>
      <left style="thick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right style="thick">
        <color rgb="FF000000"/>
      </right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n">
        <color rgb="FF000000"/>
      </bottom>
    </border>
    <border>
      <left style="thick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n">
        <color rgb="FF000000"/>
      </right>
      <top style="thin">
        <color rgb="FF000000"/>
      </top>
      <bottom style="thick">
        <color rgb="FF000000"/>
      </bottom>
    </border>
    <border>
      <left style="thin">
        <color rgb="FF000000"/>
      </left>
      <right style="thick">
        <color rgb="FF000000"/>
      </right>
      <top style="thin">
        <color rgb="FF000000"/>
      </top>
      <bottom style="thick">
        <color rgb="FF000000"/>
      </bottom>
    </border>
    <border>
      <left style="thick">
        <color rgb="FF000000"/>
      </left>
      <right style="thick">
        <color rgb="FF000000"/>
      </right>
      <bottom style="thick">
        <color rgb="FF000000"/>
      </bottom>
    </border>
  </borders>
  <cellStyleXfs count="1">
    <xf borderId="0" fillId="0" fontId="0" numFmtId="0" applyAlignment="1" applyFont="1"/>
  </cellStyleXfs>
  <cellXfs count="23">
    <xf borderId="0" fillId="0" fontId="0" numFmtId="0" xfId="0" applyAlignment="1" applyFont="1">
      <alignment readingOrder="0" shrinkToFit="0" vertical="bottom" wrapText="0"/>
    </xf>
    <xf borderId="1" fillId="0" fontId="1" numFmtId="0" xfId="0" applyAlignment="1" applyBorder="1" applyFont="1">
      <alignment horizontal="center" readingOrder="0"/>
    </xf>
    <xf borderId="2" fillId="0" fontId="1" numFmtId="0" xfId="0" applyAlignment="1" applyBorder="1" applyFont="1">
      <alignment horizontal="center" readingOrder="0"/>
    </xf>
    <xf borderId="3" fillId="0" fontId="1" numFmtId="0" xfId="0" applyAlignment="1" applyBorder="1" applyFont="1">
      <alignment horizontal="center" readingOrder="0"/>
    </xf>
    <xf borderId="4" fillId="0" fontId="2" numFmtId="0" xfId="0" applyAlignment="1" applyBorder="1" applyFont="1">
      <alignment readingOrder="0"/>
    </xf>
    <xf borderId="5" fillId="0" fontId="2" numFmtId="0" xfId="0" applyAlignment="1" applyBorder="1" applyFont="1">
      <alignment horizontal="left" readingOrder="0"/>
    </xf>
    <xf borderId="5" fillId="0" fontId="2" numFmtId="164" xfId="0" applyAlignment="1" applyBorder="1" applyFont="1" applyNumberFormat="1">
      <alignment readingOrder="0"/>
    </xf>
    <xf borderId="5" fillId="0" fontId="2" numFmtId="0" xfId="0" applyAlignment="1" applyBorder="1" applyFont="1">
      <alignment readingOrder="0"/>
    </xf>
    <xf borderId="5" fillId="0" fontId="2" numFmtId="164" xfId="0" applyBorder="1" applyFont="1" applyNumberFormat="1"/>
    <xf borderId="6" fillId="0" fontId="2" numFmtId="0" xfId="0" applyAlignment="1" applyBorder="1" applyFont="1">
      <alignment readingOrder="0"/>
    </xf>
    <xf borderId="7" fillId="0" fontId="2" numFmtId="0" xfId="0" applyAlignment="1" applyBorder="1" applyFont="1">
      <alignment readingOrder="0"/>
    </xf>
    <xf borderId="8" fillId="0" fontId="2" numFmtId="0" xfId="0" applyAlignment="1" applyBorder="1" applyFont="1">
      <alignment readingOrder="0"/>
    </xf>
    <xf borderId="8" fillId="0" fontId="2" numFmtId="164" xfId="0" applyAlignment="1" applyBorder="1" applyFont="1" applyNumberFormat="1">
      <alignment readingOrder="0"/>
    </xf>
    <xf borderId="8" fillId="0" fontId="2" numFmtId="164" xfId="0" applyBorder="1" applyFont="1" applyNumberFormat="1"/>
    <xf borderId="9" fillId="0" fontId="2" numFmtId="0" xfId="0" applyAlignment="1" applyBorder="1" applyFont="1">
      <alignment readingOrder="0"/>
    </xf>
    <xf borderId="9" fillId="0" fontId="3" numFmtId="0" xfId="0" applyAlignment="1" applyBorder="1" applyFont="1">
      <alignment readingOrder="0"/>
    </xf>
    <xf borderId="8" fillId="0" fontId="2" numFmtId="4" xfId="0" applyAlignment="1" applyBorder="1" applyFont="1" applyNumberFormat="1">
      <alignment readingOrder="0"/>
    </xf>
    <xf borderId="10" fillId="0" fontId="2" numFmtId="0" xfId="0" applyAlignment="1" applyBorder="1" applyFont="1">
      <alignment readingOrder="0"/>
    </xf>
    <xf borderId="11" fillId="0" fontId="2" numFmtId="0" xfId="0" applyAlignment="1" applyBorder="1" applyFont="1">
      <alignment readingOrder="0"/>
    </xf>
    <xf borderId="11" fillId="0" fontId="2" numFmtId="164" xfId="0" applyAlignment="1" applyBorder="1" applyFont="1" applyNumberFormat="1">
      <alignment readingOrder="0"/>
    </xf>
    <xf borderId="12" fillId="0" fontId="4" numFmtId="0" xfId="0" applyAlignment="1" applyBorder="1" applyFont="1">
      <alignment readingOrder="0"/>
    </xf>
    <xf borderId="13" fillId="0" fontId="2" numFmtId="0" xfId="0" applyAlignment="1" applyBorder="1" applyFont="1">
      <alignment readingOrder="0"/>
    </xf>
    <xf borderId="13" fillId="0" fontId="2" numFmtId="164" xfId="0" applyBorder="1" applyFont="1" applyNumberForma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1" Type="http://schemas.openxmlformats.org/officeDocument/2006/relationships/hyperlink" Target="https://www.digikey.com/en/products/detail/yageo/RC0603FR-0725K5L/727088" TargetMode="External"/><Relationship Id="rId10" Type="http://schemas.openxmlformats.org/officeDocument/2006/relationships/hyperlink" Target="https://www.digikey.com/en/products/detail/murata-electronics/GRM21BR60G107ME11L/6155750" TargetMode="External"/><Relationship Id="rId13" Type="http://schemas.openxmlformats.org/officeDocument/2006/relationships/hyperlink" Target="https://www.digikey.com/en/products/detail/nordic-semiconductor-asa/NRF52840-DONGLE/9491124" TargetMode="External"/><Relationship Id="rId12" Type="http://schemas.openxmlformats.org/officeDocument/2006/relationships/hyperlink" Target="https://www.digikey.com/en/products/detail/raspberry-pi/SC0445/10258760" TargetMode="External"/><Relationship Id="rId1" Type="http://schemas.openxmlformats.org/officeDocument/2006/relationships/hyperlink" Target="https://www.digikey.com/en/products/detail/texas-instruments/LM48511SQX-NOPB/1871670" TargetMode="External"/><Relationship Id="rId2" Type="http://schemas.openxmlformats.org/officeDocument/2006/relationships/hyperlink" Target="https://www.digikey.com/en/products/detail/diodes-incorporated/DFLS230LH-7/776777" TargetMode="External"/><Relationship Id="rId3" Type="http://schemas.openxmlformats.org/officeDocument/2006/relationships/hyperlink" Target="https://www.digikey.com/en/products/detail/vishay-dale/IHLP2525CZER6R8M01/1220676" TargetMode="External"/><Relationship Id="rId4" Type="http://schemas.openxmlformats.org/officeDocument/2006/relationships/hyperlink" Target="https://www.digikey.com/en/products/detail/yageo/CC0402KRX5R6BB184/11489798" TargetMode="External"/><Relationship Id="rId9" Type="http://schemas.openxmlformats.org/officeDocument/2006/relationships/hyperlink" Target="https://www.digikey.com/en/products/detail/yageo/CC0603KRX7R9BB271/372858" TargetMode="External"/><Relationship Id="rId15" Type="http://schemas.openxmlformats.org/officeDocument/2006/relationships/hyperlink" Target="https://www.digikey.com/en/products/detail/olimex-ltd/USB-CARD-READER/21661975" TargetMode="External"/><Relationship Id="rId14" Type="http://schemas.openxmlformats.org/officeDocument/2006/relationships/hyperlink" Target="https://www.digikey.com/en/products/detail/raspberry-pi/SC0193-11/10258782" TargetMode="External"/><Relationship Id="rId17" Type="http://schemas.openxmlformats.org/officeDocument/2006/relationships/drawing" Target="../drawings/drawing1.xml"/><Relationship Id="rId16" Type="http://schemas.openxmlformats.org/officeDocument/2006/relationships/hyperlink" Target="https://www.digikey.com/en/products/detail/raspberry-pi/SC1629/24627140" TargetMode="External"/><Relationship Id="rId5" Type="http://schemas.openxmlformats.org/officeDocument/2006/relationships/hyperlink" Target="https://www.digikey.com/en/products/detail/yageo/RC0603FR-0720KL/727040" TargetMode="External"/><Relationship Id="rId6" Type="http://schemas.openxmlformats.org/officeDocument/2006/relationships/hyperlink" Target="https://www.digikey.com/en/products/detail/bourns-inc/CR0603-FX-4871ELF/3784054" TargetMode="External"/><Relationship Id="rId7" Type="http://schemas.openxmlformats.org/officeDocument/2006/relationships/hyperlink" Target="https://www.digikey.com/en/products/detail/yageo/RC0603FR-079K31L/727420" TargetMode="External"/><Relationship Id="rId8" Type="http://schemas.openxmlformats.org/officeDocument/2006/relationships/hyperlink" Target="https://www.digikey.com/en/products/detail/stackpole-electronics-inc/RNCF0603BTE2K50/626223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26.13"/>
    <col customWidth="1" min="3" max="3" width="75.25"/>
  </cols>
  <sheetData>
    <row r="4">
      <c r="B4" s="1" t="s">
        <v>0</v>
      </c>
      <c r="C4" s="2" t="s">
        <v>1</v>
      </c>
      <c r="D4" s="2" t="s">
        <v>2</v>
      </c>
      <c r="E4" s="2" t="s">
        <v>3</v>
      </c>
      <c r="F4" s="2" t="s">
        <v>4</v>
      </c>
      <c r="G4" s="3" t="s">
        <v>5</v>
      </c>
    </row>
    <row r="5">
      <c r="B5" s="4" t="s">
        <v>6</v>
      </c>
      <c r="C5" s="5" t="s">
        <v>7</v>
      </c>
      <c r="D5" s="6">
        <v>93.9</v>
      </c>
      <c r="E5" s="7">
        <v>1.0</v>
      </c>
      <c r="F5" s="8">
        <f t="shared" ref="F5:F17" si="1">D5*E5</f>
        <v>93.9</v>
      </c>
      <c r="G5" s="9" t="s">
        <v>8</v>
      </c>
    </row>
    <row r="6">
      <c r="B6" s="10" t="s">
        <v>9</v>
      </c>
      <c r="C6" s="11" t="s">
        <v>10</v>
      </c>
      <c r="D6" s="12">
        <v>19.61</v>
      </c>
      <c r="E6" s="11">
        <v>1.0</v>
      </c>
      <c r="F6" s="13">
        <f t="shared" si="1"/>
        <v>19.61</v>
      </c>
      <c r="G6" s="14" t="s">
        <v>8</v>
      </c>
    </row>
    <row r="7">
      <c r="B7" s="10" t="s">
        <v>11</v>
      </c>
      <c r="C7" s="11" t="s">
        <v>12</v>
      </c>
      <c r="D7" s="12">
        <v>1.871</v>
      </c>
      <c r="E7" s="11">
        <v>10.0</v>
      </c>
      <c r="F7" s="13">
        <f t="shared" si="1"/>
        <v>18.71</v>
      </c>
      <c r="G7" s="15" t="s">
        <v>13</v>
      </c>
    </row>
    <row r="8">
      <c r="B8" s="10" t="s">
        <v>14</v>
      </c>
      <c r="C8" s="11" t="s">
        <v>15</v>
      </c>
      <c r="D8" s="12">
        <v>0.464</v>
      </c>
      <c r="E8" s="11">
        <v>10.0</v>
      </c>
      <c r="F8" s="13">
        <f t="shared" si="1"/>
        <v>4.64</v>
      </c>
      <c r="G8" s="15" t="s">
        <v>13</v>
      </c>
    </row>
    <row r="9">
      <c r="B9" s="10" t="s">
        <v>16</v>
      </c>
      <c r="C9" s="11" t="s">
        <v>17</v>
      </c>
      <c r="D9" s="12">
        <v>0.813</v>
      </c>
      <c r="E9" s="16">
        <v>10.0</v>
      </c>
      <c r="F9" s="13">
        <f t="shared" si="1"/>
        <v>8.13</v>
      </c>
      <c r="G9" s="15" t="s">
        <v>13</v>
      </c>
    </row>
    <row r="10">
      <c r="B10" s="10" t="s">
        <v>18</v>
      </c>
      <c r="C10" s="11" t="s">
        <v>19</v>
      </c>
      <c r="D10" s="12">
        <v>0.061</v>
      </c>
      <c r="E10" s="11">
        <v>10.0</v>
      </c>
      <c r="F10" s="13">
        <f t="shared" si="1"/>
        <v>0.61</v>
      </c>
      <c r="G10" s="15" t="s">
        <v>13</v>
      </c>
    </row>
    <row r="11">
      <c r="B11" s="10" t="s">
        <v>20</v>
      </c>
      <c r="C11" s="11" t="s">
        <v>21</v>
      </c>
      <c r="D11" s="12">
        <v>0.0068</v>
      </c>
      <c r="E11" s="11">
        <v>25.0</v>
      </c>
      <c r="F11" s="13">
        <f t="shared" si="1"/>
        <v>0.17</v>
      </c>
      <c r="G11" s="15" t="s">
        <v>13</v>
      </c>
    </row>
    <row r="12">
      <c r="B12" s="10" t="s">
        <v>22</v>
      </c>
      <c r="C12" s="11" t="s">
        <v>23</v>
      </c>
      <c r="D12" s="12">
        <v>0.025</v>
      </c>
      <c r="E12" s="11">
        <v>10.0</v>
      </c>
      <c r="F12" s="13">
        <f t="shared" si="1"/>
        <v>0.25</v>
      </c>
      <c r="G12" s="15" t="s">
        <v>13</v>
      </c>
    </row>
    <row r="13">
      <c r="B13" s="10" t="s">
        <v>24</v>
      </c>
      <c r="C13" s="11" t="s">
        <v>25</v>
      </c>
      <c r="D13" s="12">
        <v>0.008</v>
      </c>
      <c r="E13" s="11">
        <v>10.0</v>
      </c>
      <c r="F13" s="13">
        <f t="shared" si="1"/>
        <v>0.08</v>
      </c>
      <c r="G13" s="15" t="s">
        <v>13</v>
      </c>
    </row>
    <row r="14">
      <c r="B14" s="10" t="s">
        <v>26</v>
      </c>
      <c r="C14" s="11" t="s">
        <v>27</v>
      </c>
      <c r="D14" s="12">
        <v>0.076</v>
      </c>
      <c r="E14" s="11">
        <v>10.0</v>
      </c>
      <c r="F14" s="13">
        <f t="shared" si="1"/>
        <v>0.76</v>
      </c>
      <c r="G14" s="15" t="s">
        <v>13</v>
      </c>
    </row>
    <row r="15">
      <c r="B15" s="10" t="s">
        <v>28</v>
      </c>
      <c r="C15" s="11" t="s">
        <v>29</v>
      </c>
      <c r="D15" s="12">
        <v>0.034</v>
      </c>
      <c r="E15" s="11">
        <v>10.0</v>
      </c>
      <c r="F15" s="13">
        <f t="shared" si="1"/>
        <v>0.34</v>
      </c>
      <c r="G15" s="15" t="s">
        <v>13</v>
      </c>
    </row>
    <row r="16">
      <c r="B16" s="10" t="s">
        <v>30</v>
      </c>
      <c r="C16" s="11" t="s">
        <v>31</v>
      </c>
      <c r="D16" s="12">
        <v>0.321</v>
      </c>
      <c r="E16" s="11">
        <v>10.0</v>
      </c>
      <c r="F16" s="13">
        <f t="shared" si="1"/>
        <v>3.21</v>
      </c>
      <c r="G16" s="15" t="s">
        <v>13</v>
      </c>
    </row>
    <row r="17">
      <c r="B17" s="10" t="s">
        <v>32</v>
      </c>
      <c r="C17" s="11" t="s">
        <v>33</v>
      </c>
      <c r="D17" s="12">
        <v>0.007</v>
      </c>
      <c r="E17" s="11">
        <v>10.0</v>
      </c>
      <c r="F17" s="13">
        <f t="shared" si="1"/>
        <v>0.07</v>
      </c>
      <c r="G17" s="15" t="s">
        <v>13</v>
      </c>
    </row>
    <row r="18">
      <c r="B18" s="10" t="s">
        <v>34</v>
      </c>
      <c r="C18" s="11" t="s">
        <v>35</v>
      </c>
      <c r="D18" s="12">
        <v>8.0</v>
      </c>
      <c r="E18" s="11">
        <v>1.0</v>
      </c>
      <c r="F18" s="12">
        <v>8.0</v>
      </c>
      <c r="G18" s="15" t="s">
        <v>13</v>
      </c>
    </row>
    <row r="19">
      <c r="B19" s="10" t="s">
        <v>36</v>
      </c>
      <c r="C19" s="11" t="s">
        <v>37</v>
      </c>
      <c r="D19" s="12">
        <v>10.0</v>
      </c>
      <c r="E19" s="11">
        <v>1.0</v>
      </c>
      <c r="F19" s="12">
        <v>10.0</v>
      </c>
      <c r="G19" s="15" t="s">
        <v>13</v>
      </c>
    </row>
    <row r="20">
      <c r="B20" s="10" t="s">
        <v>38</v>
      </c>
      <c r="C20" s="11" t="s">
        <v>39</v>
      </c>
      <c r="D20" s="12">
        <v>55.0</v>
      </c>
      <c r="E20" s="11">
        <v>1.0</v>
      </c>
      <c r="F20" s="12">
        <v>55.0</v>
      </c>
      <c r="G20" s="15" t="s">
        <v>13</v>
      </c>
    </row>
    <row r="21">
      <c r="B21" s="10" t="s">
        <v>40</v>
      </c>
      <c r="C21" s="11" t="s">
        <v>41</v>
      </c>
      <c r="D21" s="12">
        <v>1.78</v>
      </c>
      <c r="E21" s="11">
        <v>1.0</v>
      </c>
      <c r="F21" s="12">
        <v>1.78</v>
      </c>
      <c r="G21" s="15" t="s">
        <v>13</v>
      </c>
    </row>
    <row r="22">
      <c r="B22" s="17" t="s">
        <v>42</v>
      </c>
      <c r="C22" s="18" t="s">
        <v>43</v>
      </c>
      <c r="D22" s="19">
        <v>36.79</v>
      </c>
      <c r="E22" s="18">
        <v>1.0</v>
      </c>
      <c r="F22" s="19">
        <v>36.79</v>
      </c>
      <c r="G22" s="20" t="s">
        <v>13</v>
      </c>
    </row>
    <row r="23">
      <c r="E23" s="21" t="s">
        <v>44</v>
      </c>
      <c r="F23" s="22">
        <f>SUM(F5:F22)</f>
        <v>262.05</v>
      </c>
    </row>
  </sheetData>
  <autoFilter ref="$B$4:$G$23"/>
  <hyperlinks>
    <hyperlink r:id="rId1" ref="G7"/>
    <hyperlink r:id="rId2" ref="G8"/>
    <hyperlink r:id="rId3" ref="G9"/>
    <hyperlink r:id="rId4" ref="G10"/>
    <hyperlink r:id="rId5" ref="G11"/>
    <hyperlink r:id="rId6" ref="G12"/>
    <hyperlink r:id="rId7" ref="G13"/>
    <hyperlink r:id="rId8" ref="G14"/>
    <hyperlink r:id="rId9" ref="G15"/>
    <hyperlink r:id="rId10" ref="G16"/>
    <hyperlink r:id="rId11" ref="G17"/>
    <hyperlink r:id="rId12" ref="G18"/>
    <hyperlink r:id="rId13" ref="G19"/>
    <hyperlink r:id="rId14" ref="G20"/>
    <hyperlink r:id="rId15" ref="G21"/>
    <hyperlink r:id="rId16" ref="G22"/>
  </hyperlinks>
  <drawing r:id="rId17"/>
</worksheet>
</file>