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_OVERVIEW" sheetId="1" r:id="rId4"/>
  </sheets>
  <definedNames>
    <definedName name="asml_status">PR_OVERVIEW!$A$6:$P$79</definedName>
  </definedNames>
  <calcPr/>
  <extLst>
    <ext uri="GoogleSheetsCustomDataVersion2">
      <go:sheetsCustomData xmlns:go="http://customooxmlschemas.google.com/" r:id="rId5" roundtripDataChecksum="fuvpassRipmEQc4h9xQTksfESkRfaCNtH3af+ywVDs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6">
      <text>
        <t xml:space="preserve">======
ID#AAAB3X6bO8o
Emily Barron Aguilera    (2026-04-17 16:18:16)
@lmatth23@charlotte.edu Your purchase is ready for pickup at the ISL office in the Cameron building, room 185. Please stop by during our office hours, which you can find on Canvas
_Assigned to lmatth23@charlotte.edu_</t>
      </text>
    </comment>
    <comment authorId="0" ref="J24">
      <text>
        <t xml:space="preserve">======
ID#AAAB4dHWAsY
Austin Currie    (2026-04-15 16:23:53)
@ehartma6@uncc.edu Your purchase is ready for pickup at the ISL office in the Cameron building, room 185. Please stop by during our office hours, which you can find on Canvas
_Assigned to ehartma6@uncc.edu_</t>
      </text>
    </comment>
    <comment authorId="0" ref="J22">
      <text>
        <t xml:space="preserve">======
ID#AAAB3F5VMRQ
Austin Currie    (2026-04-07 19:58:42)
@ehartma6@uncc.edu Your purchase is ready for pickup at the ISL office in the Cameron building, room 185. Please stop by during our office hours, which you can find on Canvas
_Assigned to ehartma6@uncc.edu_</t>
      </text>
    </comment>
    <comment authorId="0" ref="J25">
      <text>
        <t xml:space="preserve">======
ID#AAAB25yqrNk
Emily Barron Aguilera    (2026-04-01 17:20:48)
@ehartma6@uncc.edu Your purchase is ready for pickup at the ISL office in the Cameron building, room 185. Please stop by during our office hours, which you can find on Canvas
_Assigned to ehartma6@uncc.edu_</t>
      </text>
    </comment>
    <comment authorId="0" ref="J23">
      <text>
        <t xml:space="preserve">======
ID#AAAB24X4u2E
Emily Barron Aguilera    (2026-04-01 15:34:59)
@ehartma6@uncc.edu Your purchase is ready for pickup at the ISL office in the Cameron building, room 185. Please stop by during our office hours, which you can find on Canvas</t>
      </text>
    </comment>
    <comment authorId="0" ref="J19">
      <text>
        <t xml:space="preserve">======
ID#AAAB1Zrwbas
Austin Currie    (2026-03-05 21:22:04)
@ehartma6@uncc.edu Your purchase is ready for pickup at the ISL office in the Cameron building, room 185. Please stop by during our office hours, which you can find on Canvas
_Assigned to ehartma6@uncc.edu_</t>
      </text>
    </comment>
    <comment authorId="0" ref="J18">
      <text>
        <t xml:space="preserve">======
ID#AAAB1L5S1oo
Austin Currie    (2026-02-27 17:11:13)
@ehartma6@uncc.edu Your purchase is ready for pickup at the ISL office in the Cameron building, room 185. Please stop by during our office hours, which you can find on Canvas
_Assigned to ehartma6@uncc.edu_</t>
      </text>
    </comment>
    <comment authorId="0" ref="J20">
      <text>
        <t xml:space="preserve">======
ID#AAAB0sRkQHg
Amanda Keys    (2026-02-23 22:09:24)
@ehartma6@charlotte.edu Your OSH STENCIL order has arrived. Please check Canvas for office hours and come to 185 for your item. Thanks.
_Assigned to ehartma6@charlotte.edu_
------
ID#AAAB1LxgjsI
Amanda Keys    (2026-02-27 14:21:30)
Your OSH STENCIL order has arrived. Please check canvas for 185 hours and sign it out. Thank you. @ehartma6@charlotte.edu</t>
      </text>
    </comment>
    <comment authorId="0" ref="J17">
      <text>
        <t xml:space="preserve">======
ID#AAAB0etKGPI
Jared Kealon    (2026-02-17 14:18:06)
@ehartma6@uncc.edu Your purchase is ready for pickup at the ISL office in the Cameron building, room 185. Please stop by during our office hours, which you can find on Canvas
_Assigned to ehartma6@uncc.edu_</t>
      </text>
    </comment>
    <comment authorId="0" ref="J15">
      <text>
        <t xml:space="preserve">======
ID#AAABzxxKJao
Jairen Broussard    (2026-02-05 19:03:31)
@ehartma6@uncc.edu Your purchase is ready for pickup at the ISL office in the Cameron building, room 185. Please stop by during our office hours, which you can find on Canvas
_Assigned to ehartma6@uncc.edu_</t>
      </text>
    </comment>
    <comment authorId="0" ref="J14">
      <text>
        <t xml:space="preserve">======
ID#AAABzxxKJag
Austin Currie    (2026-02-05 19:00:14)
@ehartma6@uncc.edu Your purchase is ready for pickup at the ISL office in the Cameron building, room 185. Please stop by during our office hours, which you can find on Canvas
_Assigned to ehartma6@uncc.edu_</t>
      </text>
    </comment>
    <comment authorId="0" ref="J16">
      <text>
        <t xml:space="preserve">======
ID#AAABzxxKJac
Jairen Broussard    (2026-02-05 18:30:26)
@ehartma6@uncc.edu Your purchase is ready for pickup at the ISL office in the Cameron building, room 185. Please stop by during our office hours, which you can find on Canvas
_Assigned to ehartma6@uncc.edu_</t>
      </text>
    </comment>
    <comment authorId="0" ref="J13">
      <text>
        <t xml:space="preserve">======
ID#AAABzNohrfg
Austin Currie    (2026-01-30 16:39:36)
@ehartma6@uncc.edu Your purchase is ready for pickup at the ISL office in the Cameron building, room 185. Please stop by during our office hours, which you can find on Canvas
_Assigned to ehartma6@uncc.edu_</t>
      </text>
    </comment>
    <comment authorId="0" ref="J11">
      <text>
        <t xml:space="preserve">======
ID#AAABykl6fLM
Jared Kealon    (2026-01-14 15:29:46)
@ehartma6@uncc.edu Your purchase is ready for pickup at the ISL office in the Cameron building, room 185. Please stop by during our office hours, which you can find on Canvas
_Assigned to ehartma6@uncc.edu_</t>
      </text>
    </comment>
    <comment authorId="0" ref="I6">
      <text>
        <t xml:space="preserve">======
ID#AAABwwDDDIY
Austin Currie    (2025-11-25 19:29:44)
@ehartma6@charlotte.edu sorry for the inconvenience, Home Depot tried to deliver outside of our hours and couldn't get into the building. We are getting a refund and reordering, and it should be on the way soon.
_Assigned to ehartma6@charlotte.edu_</t>
      </text>
    </comment>
    <comment authorId="0" ref="J9">
      <text>
        <t xml:space="preserve">======
ID#AAABwtOFvYw
Austin Currie    (2025-11-25 16:16:55)
@ehartma6@uncc.edu Your purchase is ready for pickup at the ISL office in the Cameron building, room 185. Please stop by during our office hours, which you can find on Canvas
_Assigned to ehartma6@uncc.edu_</t>
      </text>
    </comment>
    <comment authorId="0" ref="J8">
      <text>
        <t xml:space="preserve">======
ID#AAABwoGbi5U
Austin Currie    (2025-11-24 16:24:01)
@ehartma6@uncc.edu Your purchase is ready for pickup at the ISL office in the Cameron building, room 185. Please stop by during our office hours, which you can find on Canvas
_Assigned to ehartma6@uncc.edu_</t>
      </text>
    </comment>
    <comment authorId="0" ref="J7">
      <text>
        <t xml:space="preserve">======
ID#AAABwe0I_tc
Austin Currie    (2025-11-20 16:24:32)
@ehartma6@uncc.edu Your purchase is ready for pickup at the ISL office in the Cameron building, room 185. Please stop by during our office hours, which you can find on Canvas
_Assigned to ehartma6@uncc.edu_</t>
      </text>
    </comment>
    <comment authorId="0" ref="J5">
      <text>
        <t xml:space="preserve">======
ID#AAABvNbddyg
Jairen Broussard    (2025-11-04 15:27:25)
@ehartma6@uncc.edu Your purchase is ready for pickup at the ISL office in the Cameron building, room 185. Please stop by during our office hours, which you can find on Canvas
_Assigned to ehartma6@uncc.edu_</t>
      </text>
    </comment>
  </commentList>
  <extLst>
    <ext uri="GoogleSheetsCustomDataVersion2">
      <go:sheetsCustomData xmlns:go="http://customooxmlschemas.google.com/" r:id="rId1" roundtripDataSignature="AMtx7mjT1Mi8JSRtJh4eVSFMDRWPBaonMA=="/>
    </ext>
  </extLst>
</comments>
</file>

<file path=xl/sharedStrings.xml><?xml version="1.0" encoding="utf-8"?>
<sst xmlns="http://schemas.openxmlformats.org/spreadsheetml/2006/main" count="135" uniqueCount="88">
  <si>
    <t>QORVO_RADIO2</t>
  </si>
  <si>
    <t>Budget:</t>
  </si>
  <si>
    <t>Team Email Addresses:</t>
  </si>
  <si>
    <t>ehartma6@uncc.edu</t>
  </si>
  <si>
    <t>Spent:</t>
  </si>
  <si>
    <t>Contact Michelle Prasad at mprasad3@uncc.edu  to make an appointment to pick up parts during hours outside office hours posted on Canvas.</t>
  </si>
  <si>
    <t xml:space="preserve">If only certain parts came in make sure you list which ones are still missing  LIST ONLY THOSE THAT ARE MISSING UNTIL ALL ARRIVE SO WE KNOW TO CONTACT YOU </t>
  </si>
  <si>
    <t xml:space="preserve">Office only </t>
  </si>
  <si>
    <t xml:space="preserve">@function </t>
  </si>
  <si>
    <t>PR Number</t>
  </si>
  <si>
    <t>Vendor</t>
  </si>
  <si>
    <t>ISL Received Date</t>
  </si>
  <si>
    <t>Submitted Order Total</t>
  </si>
  <si>
    <t>ISL Purchaser</t>
  </si>
  <si>
    <t>Date ISL Submitted Order</t>
  </si>
  <si>
    <t>Actual Order Total</t>
  </si>
  <si>
    <t>Order Confirmation Number/PO Number</t>
  </si>
  <si>
    <t xml:space="preserve">COMMENTS </t>
  </si>
  <si>
    <t xml:space="preserve">Ready for Pickup </t>
  </si>
  <si>
    <t xml:space="preserve">Missing Parts (LIST PARTS) </t>
  </si>
  <si>
    <t>Picked up BY WHO</t>
  </si>
  <si>
    <t>APPROVER (office only)</t>
  </si>
  <si>
    <t xml:space="preserve">Picked up (BY WHO) </t>
  </si>
  <si>
    <t>PR_1</t>
  </si>
  <si>
    <t>Fanstel</t>
  </si>
  <si>
    <t>TG</t>
  </si>
  <si>
    <t>$12.00 shipping charge - P-Card order</t>
  </si>
  <si>
    <t>PR_2</t>
  </si>
  <si>
    <t>Home Depot</t>
  </si>
  <si>
    <t>10.30.25</t>
  </si>
  <si>
    <t># WN41064521</t>
  </si>
  <si>
    <t>P-Card order</t>
  </si>
  <si>
    <t>Luke Matthews</t>
  </si>
  <si>
    <t>PR_3</t>
  </si>
  <si>
    <t>Digikey</t>
  </si>
  <si>
    <t>11.18.25</t>
  </si>
  <si>
    <t>DS</t>
  </si>
  <si>
    <t>PR_4</t>
  </si>
  <si>
    <t>Mouser</t>
  </si>
  <si>
    <t>209197134
209626313- Change Request</t>
  </si>
  <si>
    <t>Updated Change request for item name and description</t>
  </si>
  <si>
    <t>PR_5</t>
  </si>
  <si>
    <t>Amazon</t>
  </si>
  <si>
    <t>DD</t>
  </si>
  <si>
    <t>PR_6</t>
  </si>
  <si>
    <t>JLC PCB</t>
  </si>
  <si>
    <t>REPLACED WITH PR_10</t>
  </si>
  <si>
    <t>N/A</t>
  </si>
  <si>
    <t>PR_7</t>
  </si>
  <si>
    <t>12.07.25</t>
  </si>
  <si>
    <t>01.07.26</t>
  </si>
  <si>
    <t>PR_8</t>
  </si>
  <si>
    <t>Adafruit</t>
  </si>
  <si>
    <t xml:space="preserve"> </t>
  </si>
  <si>
    <t>Cancelled- Adafruit only accepts orders greater than $100</t>
  </si>
  <si>
    <t>PR_9</t>
  </si>
  <si>
    <t>01.22.26</t>
  </si>
  <si>
    <t>01.26.26</t>
  </si>
  <si>
    <t>PR_10</t>
  </si>
  <si>
    <t>OSH Park</t>
  </si>
  <si>
    <t>QphYWLSa</t>
  </si>
  <si>
    <t>P-card order, replaces PR_6</t>
  </si>
  <si>
    <t>PR_11</t>
  </si>
  <si>
    <t>1.22.26</t>
  </si>
  <si>
    <t>1.26.26</t>
  </si>
  <si>
    <t>PR_12</t>
  </si>
  <si>
    <t>PR_13</t>
  </si>
  <si>
    <t>JB</t>
  </si>
  <si>
    <t>PR_14_Revised</t>
  </si>
  <si>
    <t>AK</t>
  </si>
  <si>
    <t>PR_15</t>
  </si>
  <si>
    <t>Osh Park</t>
  </si>
  <si>
    <t>Pcard- AK</t>
  </si>
  <si>
    <t>expected to ship by March 4 per OP</t>
  </si>
  <si>
    <t>PR_16</t>
  </si>
  <si>
    <t>Osh Stencil</t>
  </si>
  <si>
    <t>MTR- Luke Matthews</t>
  </si>
  <si>
    <t>AC</t>
  </si>
  <si>
    <t>PR_17</t>
  </si>
  <si>
    <t>PR_18</t>
  </si>
  <si>
    <t>PR_19</t>
  </si>
  <si>
    <t>PCARD-AK</t>
  </si>
  <si>
    <t xml:space="preserve"> jPVYZMkT</t>
  </si>
  <si>
    <t>PR_20</t>
  </si>
  <si>
    <t>PCARD- AK</t>
  </si>
  <si>
    <t>Invoice: OSD163291-32161</t>
  </si>
  <si>
    <t>PR_21</t>
  </si>
  <si>
    <t>4/10 NOTIFY LUKE MATTHEWS WHEN ORDER ARRIVES AS THE TEAM LEAD IS OUT OF TOWN. TEAM NEEDS PART ASAP-AK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</si>
</sst>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"/>
    <numFmt numFmtId="165" formatCode="M/d/yyyy"/>
    <numFmt numFmtId="166" formatCode="&quot;$&quot;#,##0.00"/>
    <numFmt numFmtId="167" formatCode="m/d/yyyy h:mm:ss"/>
    <numFmt numFmtId="168" formatCode="m/d/yy"/>
    <numFmt numFmtId="169" formatCode="m/d/yyyy"/>
    <numFmt numFmtId="170" formatCode="mm/dd/yy"/>
    <numFmt numFmtId="171" formatCode="_(&quot;$&quot;* #,##0.00_);_(&quot;$&quot;* \(#,##0.00\);_(&quot;$&quot;* &quot;-&quot;??_);_(@_)"/>
  </numFmts>
  <fonts count="14">
    <font>
      <sz val="10.0"/>
      <color rgb="FF000000"/>
      <name val="Arial"/>
      <scheme val="minor"/>
    </font>
    <font>
      <b/>
      <sz val="30.0"/>
      <color theme="1"/>
      <name val="Arial"/>
    </font>
    <font/>
    <font>
      <b/>
      <sz val="11.0"/>
      <color theme="1"/>
      <name val="Arial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11.0"/>
      <color rgb="FF5E5E5E"/>
      <name val="Arial"/>
    </font>
    <font>
      <b/>
      <color rgb="FF000000"/>
      <name val="Arial"/>
    </font>
    <font>
      <b/>
      <color rgb="FFFF0000"/>
      <name val="Arial"/>
    </font>
    <font>
      <color rgb="FF000000"/>
      <name val="Arial"/>
    </font>
    <font>
      <strike/>
      <color theme="1"/>
      <name val="Arial"/>
      <scheme val="minor"/>
    </font>
    <font>
      <strike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2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4" fillId="0" fontId="4" numFmtId="164" xfId="0" applyBorder="1" applyFont="1" applyNumberFormat="1"/>
    <xf borderId="3" fillId="0" fontId="5" numFmtId="165" xfId="0" applyAlignment="1" applyBorder="1" applyFont="1" applyNumberFormat="1">
      <alignment vertical="bottom"/>
    </xf>
    <xf borderId="3" fillId="0" fontId="5" numFmtId="166" xfId="0" applyAlignment="1" applyBorder="1" applyFont="1" applyNumberFormat="1">
      <alignment vertical="bottom"/>
    </xf>
    <xf borderId="3" fillId="0" fontId="6" numFmtId="0" xfId="0" applyAlignment="1" applyBorder="1" applyFont="1">
      <alignment horizontal="right" vertical="bottom"/>
    </xf>
    <xf borderId="0" fillId="0" fontId="7" numFmtId="167" xfId="0" applyFont="1" applyNumberFormat="1"/>
    <xf borderId="0" fillId="2" fontId="8" numFmtId="0" xfId="0" applyFill="1" applyFont="1"/>
    <xf borderId="0" fillId="0" fontId="5" numFmtId="0" xfId="0" applyAlignment="1" applyFont="1">
      <alignment vertical="bottom"/>
    </xf>
    <xf borderId="3" fillId="0" fontId="5" numFmtId="0" xfId="0" applyAlignment="1" applyBorder="1" applyFont="1">
      <alignment vertical="bottom"/>
    </xf>
    <xf borderId="3" fillId="0" fontId="5" numFmtId="165" xfId="0" applyAlignment="1" applyBorder="1" applyFont="1" applyNumberFormat="1">
      <alignment horizontal="right" vertical="bottom"/>
    </xf>
    <xf borderId="5" fillId="0" fontId="2" numFmtId="0" xfId="0" applyBorder="1" applyFont="1"/>
    <xf borderId="6" fillId="0" fontId="2" numFmtId="0" xfId="0" applyBorder="1" applyFont="1"/>
    <xf borderId="0" fillId="0" fontId="9" numFmtId="0" xfId="0" applyAlignment="1" applyFont="1">
      <alignment shrinkToFit="0" vertical="bottom" wrapText="1"/>
    </xf>
    <xf borderId="0" fillId="0" fontId="10" numFmtId="166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vertical="bottom"/>
    </xf>
    <xf borderId="0" fillId="0" fontId="5" numFmtId="166" xfId="0" applyAlignment="1" applyFont="1" applyNumberFormat="1">
      <alignment vertical="bottom"/>
    </xf>
    <xf borderId="0" fillId="0" fontId="10" numFmtId="0" xfId="0" applyAlignment="1" applyFont="1">
      <alignment horizontal="center" shrinkToFit="0" vertical="bottom" wrapText="1"/>
    </xf>
    <xf borderId="0" fillId="0" fontId="5" numFmtId="0" xfId="0" applyAlignment="1" applyFont="1">
      <alignment shrinkToFit="0" vertical="bottom" wrapText="1"/>
    </xf>
    <xf borderId="7" fillId="0" fontId="5" numFmtId="0" xfId="0" applyAlignment="1" applyBorder="1" applyFont="1">
      <alignment shrinkToFit="0" vertical="bottom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6" numFmtId="0" xfId="0" applyAlignment="1" applyBorder="1" applyFont="1">
      <alignment shrinkToFit="0" vertical="bottom" wrapText="1"/>
    </xf>
    <xf borderId="12" fillId="0" fontId="6" numFmtId="166" xfId="0" applyAlignment="1" applyBorder="1" applyFont="1" applyNumberFormat="1">
      <alignment horizontal="right" shrinkToFit="0" vertical="bottom" wrapText="1"/>
    </xf>
    <xf borderId="12" fillId="0" fontId="5" numFmtId="0" xfId="0" applyAlignment="1" applyBorder="1" applyFont="1">
      <alignment vertical="bottom"/>
    </xf>
    <xf borderId="12" fillId="0" fontId="5" numFmtId="165" xfId="0" applyAlignment="1" applyBorder="1" applyFont="1" applyNumberFormat="1">
      <alignment vertical="bottom"/>
    </xf>
    <xf borderId="12" fillId="0" fontId="5" numFmtId="166" xfId="0" applyAlignment="1" applyBorder="1" applyFont="1" applyNumberFormat="1">
      <alignment vertical="bottom"/>
    </xf>
    <xf borderId="13" fillId="0" fontId="5" numFmtId="0" xfId="0" applyAlignment="1" applyBorder="1" applyFont="1">
      <alignment vertical="bottom"/>
    </xf>
    <xf borderId="13" fillId="0" fontId="5" numFmtId="0" xfId="0" applyAlignment="1" applyBorder="1" applyFont="1">
      <alignment shrinkToFit="0" vertical="bottom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3" fontId="6" numFmtId="0" xfId="0" applyAlignment="1" applyBorder="1" applyFill="1" applyFont="1">
      <alignment horizontal="center" shrinkToFit="0" vertical="bottom" wrapText="1"/>
    </xf>
    <xf borderId="11" fillId="3" fontId="6" numFmtId="0" xfId="0" applyAlignment="1" applyBorder="1" applyFont="1">
      <alignment horizontal="center" shrinkToFit="0" vertical="bottom" wrapText="1"/>
    </xf>
    <xf borderId="11" fillId="3" fontId="6" numFmtId="165" xfId="0" applyAlignment="1" applyBorder="1" applyFont="1" applyNumberFormat="1">
      <alignment horizontal="center" shrinkToFit="0" vertical="bottom" wrapText="1"/>
    </xf>
    <xf borderId="11" fillId="3" fontId="6" numFmtId="166" xfId="0" applyAlignment="1" applyBorder="1" applyFont="1" applyNumberFormat="1">
      <alignment horizontal="center" shrinkToFit="0" vertical="bottom" wrapText="1"/>
    </xf>
    <xf borderId="12" fillId="3" fontId="6" numFmtId="0" xfId="0" applyAlignment="1" applyBorder="1" applyFont="1">
      <alignment horizontal="center" shrinkToFit="0" vertical="bottom" wrapText="1"/>
    </xf>
    <xf borderId="18" fillId="0" fontId="6" numFmtId="0" xfId="0" applyAlignment="1" applyBorder="1" applyFont="1">
      <alignment horizontal="center" shrinkToFit="0" vertical="bottom" wrapText="1"/>
    </xf>
    <xf borderId="19" fillId="0" fontId="6" numFmtId="0" xfId="0" applyAlignment="1" applyBorder="1" applyFont="1">
      <alignment horizontal="center" shrinkToFit="0" vertical="bottom" wrapText="1"/>
    </xf>
    <xf borderId="20" fillId="0" fontId="6" numFmtId="0" xfId="0" applyAlignment="1" applyBorder="1" applyFont="1">
      <alignment horizontal="center" shrinkToFit="0" vertical="bottom" wrapText="1"/>
    </xf>
    <xf borderId="21" fillId="0" fontId="6" numFmtId="0" xfId="0" applyAlignment="1" applyBorder="1" applyFont="1">
      <alignment horizontal="center" shrinkToFit="0" vertical="bottom" wrapText="1"/>
    </xf>
    <xf borderId="13" fillId="0" fontId="6" numFmtId="0" xfId="0" applyAlignment="1" applyBorder="1" applyFont="1">
      <alignment shrinkToFit="0" wrapText="1"/>
    </xf>
    <xf borderId="21" fillId="0" fontId="6" numFmtId="0" xfId="0" applyAlignment="1" applyBorder="1" applyFont="1">
      <alignment shrinkToFit="0" wrapText="1"/>
    </xf>
    <xf borderId="0" fillId="0" fontId="5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/>
    </xf>
    <xf borderId="0" fillId="0" fontId="5" numFmtId="168" xfId="0" applyAlignment="1" applyFont="1" applyNumberFormat="1">
      <alignment horizontal="center" readingOrder="0" shrinkToFit="0" vertical="bottom" wrapText="1"/>
    </xf>
    <xf borderId="0" fillId="0" fontId="5" numFmtId="166" xfId="0" applyAlignment="1" applyFont="1" applyNumberFormat="1">
      <alignment horizontal="center" readingOrder="0" shrinkToFit="0" vertical="bottom" wrapText="1"/>
    </xf>
    <xf borderId="0" fillId="0" fontId="5" numFmtId="14" xfId="0" applyAlignment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2" fontId="5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11" numFmtId="14" xfId="0" applyAlignment="1" applyFont="1" applyNumberFormat="1">
      <alignment readingOrder="0" shrinkToFit="0" vertical="bottom" wrapText="0"/>
    </xf>
    <xf borderId="0" fillId="0" fontId="5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3" numFmtId="168" xfId="0" applyFont="1" applyNumberFormat="1"/>
    <xf borderId="0" fillId="0" fontId="13" numFmtId="166" xfId="0" applyFont="1" applyNumberFormat="1"/>
    <xf borderId="0" fillId="0" fontId="12" numFmtId="0" xfId="0" applyFont="1"/>
    <xf borderId="0" fillId="0" fontId="13" numFmtId="166" xfId="0" applyAlignment="1" applyFont="1" applyNumberFormat="1">
      <alignment horizontal="center" readingOrder="0"/>
    </xf>
    <xf borderId="0" fillId="0" fontId="13" numFmtId="0" xfId="0" applyAlignment="1" applyFont="1">
      <alignment horizontal="center" shrinkToFit="0" vertical="bottom" wrapText="1"/>
    </xf>
    <xf borderId="0" fillId="0" fontId="13" numFmtId="0" xfId="0" applyFont="1"/>
    <xf borderId="0" fillId="0" fontId="5" numFmtId="169" xfId="0" applyAlignment="1" applyFont="1" applyNumberFormat="1">
      <alignment horizontal="center" readingOrder="0" shrinkToFit="0" vertical="bottom" wrapText="1"/>
    </xf>
    <xf borderId="0" fillId="0" fontId="5" numFmtId="170" xfId="0" applyAlignment="1" applyFont="1" applyNumberFormat="1">
      <alignment horizontal="center" readingOrder="0" shrinkToFit="0" vertical="bottom" wrapText="1"/>
    </xf>
    <xf borderId="0" fillId="0" fontId="5" numFmtId="168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/>
    </xf>
    <xf borderId="0" fillId="0" fontId="7" numFmtId="168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7" numFmtId="169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168" xfId="0" applyAlignment="1" applyFont="1" applyNumberFormat="1">
      <alignment readingOrder="0"/>
    </xf>
    <xf borderId="0" fillId="0" fontId="5" numFmtId="165" xfId="0" applyFont="1" applyNumberFormat="1"/>
    <xf borderId="0" fillId="0" fontId="5" numFmtId="0" xfId="0" applyAlignment="1" applyFont="1">
      <alignment horizontal="right"/>
    </xf>
    <xf borderId="0" fillId="4" fontId="7" numFmtId="0" xfId="0" applyAlignment="1" applyFill="1" applyFont="1">
      <alignment readingOrder="0"/>
    </xf>
    <xf borderId="0" fillId="4" fontId="7" numFmtId="168" xfId="0" applyAlignment="1" applyFont="1" applyNumberFormat="1">
      <alignment readingOrder="0"/>
    </xf>
    <xf borderId="0" fillId="4" fontId="5" numFmtId="166" xfId="0" applyAlignment="1" applyFont="1" applyNumberFormat="1">
      <alignment readingOrder="0"/>
    </xf>
    <xf borderId="0" fillId="4" fontId="7" numFmtId="0" xfId="0" applyFont="1"/>
    <xf borderId="0" fillId="0" fontId="7" numFmtId="14" xfId="0" applyAlignment="1" applyFont="1" applyNumberFormat="1">
      <alignment horizontal="center" readingOrder="0"/>
    </xf>
    <xf borderId="0" fillId="4" fontId="5" numFmtId="0" xfId="0" applyAlignment="1" applyFont="1">
      <alignment readingOrder="0"/>
    </xf>
    <xf borderId="0" fillId="4" fontId="5" numFmtId="165" xfId="0" applyFont="1" applyNumberFormat="1"/>
    <xf borderId="0" fillId="4" fontId="5" numFmtId="0" xfId="0" applyAlignment="1" applyFont="1">
      <alignment horizontal="right"/>
    </xf>
    <xf borderId="0" fillId="0" fontId="5" numFmtId="166" xfId="0" applyFont="1" applyNumberFormat="1"/>
    <xf borderId="0" fillId="0" fontId="5" numFmtId="171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13"/>
    <col customWidth="1" min="2" max="2" width="38.0"/>
    <col customWidth="1" min="8" max="8" width="24.25"/>
    <col customWidth="1" min="9" max="9" width="30.13"/>
    <col customWidth="1" min="10" max="12" width="16.88"/>
    <col customWidth="1" min="13" max="13" width="14.75"/>
    <col customWidth="1" min="14" max="14" width="9.38"/>
    <col customWidth="1" min="16" max="16" width="12.75"/>
  </cols>
  <sheetData>
    <row r="1" ht="15.75" customHeight="1">
      <c r="A1" s="1" t="s">
        <v>0</v>
      </c>
      <c r="B1" s="2"/>
      <c r="C1" s="3" t="s">
        <v>1</v>
      </c>
      <c r="D1" s="4">
        <v>3250.0</v>
      </c>
      <c r="E1" s="5"/>
      <c r="F1" s="5"/>
      <c r="G1" s="6"/>
      <c r="H1" s="7" t="s">
        <v>2</v>
      </c>
      <c r="I1" s="8" t="s">
        <v>3</v>
      </c>
      <c r="J1" s="9"/>
      <c r="K1" s="10"/>
      <c r="L1" s="11"/>
      <c r="M1" s="12"/>
      <c r="N1" s="12"/>
      <c r="O1" s="5"/>
      <c r="P1" s="5"/>
    </row>
    <row r="2" ht="101.25" customHeight="1">
      <c r="A2" s="13"/>
      <c r="B2" s="14"/>
      <c r="C2" s="15" t="s">
        <v>4</v>
      </c>
      <c r="D2" s="16">
        <f>SUM(G5:G1004)</f>
        <v>2964.06</v>
      </c>
      <c r="E2" s="10"/>
      <c r="F2" s="17"/>
      <c r="G2" s="18"/>
      <c r="H2" s="19" t="s">
        <v>5</v>
      </c>
      <c r="I2" s="10"/>
      <c r="J2" s="17"/>
      <c r="K2" s="20"/>
      <c r="L2" s="21" t="s">
        <v>6</v>
      </c>
      <c r="M2" s="22"/>
      <c r="N2" s="22"/>
      <c r="O2" s="23"/>
      <c r="P2" s="10"/>
    </row>
    <row r="3" ht="15.75" customHeight="1">
      <c r="A3" s="24"/>
      <c r="B3" s="25"/>
      <c r="C3" s="26"/>
      <c r="D3" s="27">
        <f>minus(D1,D2)</f>
        <v>285.94</v>
      </c>
      <c r="E3" s="28"/>
      <c r="F3" s="29"/>
      <c r="G3" s="30"/>
      <c r="H3" s="28"/>
      <c r="I3" s="31" t="s">
        <v>7</v>
      </c>
      <c r="J3" s="31" t="s">
        <v>8</v>
      </c>
      <c r="K3" s="32"/>
      <c r="L3" s="33"/>
      <c r="M3" s="34"/>
      <c r="N3" s="34"/>
      <c r="O3" s="35"/>
      <c r="P3" s="10"/>
    </row>
    <row r="4" ht="51.75" customHeight="1">
      <c r="A4" s="36" t="s">
        <v>9</v>
      </c>
      <c r="B4" s="37" t="s">
        <v>10</v>
      </c>
      <c r="C4" s="38" t="s">
        <v>11</v>
      </c>
      <c r="D4" s="39" t="s">
        <v>12</v>
      </c>
      <c r="E4" s="37" t="s">
        <v>13</v>
      </c>
      <c r="F4" s="37" t="s">
        <v>14</v>
      </c>
      <c r="G4" s="39" t="s">
        <v>15</v>
      </c>
      <c r="H4" s="40" t="s">
        <v>16</v>
      </c>
      <c r="I4" s="41" t="s">
        <v>17</v>
      </c>
      <c r="J4" s="42" t="s">
        <v>18</v>
      </c>
      <c r="K4" s="43" t="s">
        <v>19</v>
      </c>
      <c r="L4" s="44" t="s">
        <v>20</v>
      </c>
      <c r="M4" s="45" t="s">
        <v>21</v>
      </c>
      <c r="N4" s="43" t="s">
        <v>19</v>
      </c>
      <c r="O4" s="43" t="s">
        <v>22</v>
      </c>
      <c r="P4" s="46" t="s">
        <v>21</v>
      </c>
      <c r="Q4" s="44" t="s">
        <v>20</v>
      </c>
      <c r="R4" s="45" t="s">
        <v>21</v>
      </c>
      <c r="S4" s="43" t="s">
        <v>19</v>
      </c>
      <c r="T4" s="43" t="s">
        <v>22</v>
      </c>
      <c r="U4" s="46" t="s">
        <v>21</v>
      </c>
    </row>
    <row r="5" ht="15.75" customHeight="1">
      <c r="A5" s="47" t="s">
        <v>23</v>
      </c>
      <c r="B5" s="48" t="s">
        <v>24</v>
      </c>
      <c r="C5" s="49">
        <v>45960.0</v>
      </c>
      <c r="D5" s="50">
        <v>95.52</v>
      </c>
      <c r="E5" s="47" t="s">
        <v>25</v>
      </c>
      <c r="F5" s="49">
        <v>45960.0</v>
      </c>
      <c r="G5" s="50">
        <v>107.52</v>
      </c>
      <c r="H5" s="47">
        <v>5115.0</v>
      </c>
      <c r="I5" s="47" t="s">
        <v>26</v>
      </c>
      <c r="J5" s="51">
        <v>45965.0</v>
      </c>
      <c r="K5" s="52"/>
      <c r="L5" s="52"/>
      <c r="M5" s="52"/>
      <c r="N5" s="52"/>
      <c r="O5" s="52"/>
      <c r="P5" s="20"/>
    </row>
    <row r="6" ht="15.75" customHeight="1">
      <c r="A6" s="47" t="s">
        <v>27</v>
      </c>
      <c r="B6" s="48" t="s">
        <v>28</v>
      </c>
      <c r="C6" s="47" t="s">
        <v>29</v>
      </c>
      <c r="D6" s="50">
        <v>19.44</v>
      </c>
      <c r="E6" s="47" t="s">
        <v>25</v>
      </c>
      <c r="F6" s="47" t="s">
        <v>29</v>
      </c>
      <c r="G6" s="50">
        <v>19.44</v>
      </c>
      <c r="H6" s="47" t="s">
        <v>30</v>
      </c>
      <c r="I6" s="47" t="s">
        <v>31</v>
      </c>
      <c r="J6" s="49">
        <v>45992.0</v>
      </c>
      <c r="K6" s="52"/>
      <c r="L6" s="47" t="s">
        <v>32</v>
      </c>
      <c r="M6" s="47" t="s">
        <v>25</v>
      </c>
      <c r="N6" s="52"/>
      <c r="O6" s="52"/>
      <c r="P6" s="20"/>
    </row>
    <row r="7" ht="15.75" customHeight="1">
      <c r="A7" s="47" t="s">
        <v>33</v>
      </c>
      <c r="B7" s="47" t="s">
        <v>34</v>
      </c>
      <c r="C7" s="47" t="s">
        <v>35</v>
      </c>
      <c r="D7" s="50">
        <v>707.6</v>
      </c>
      <c r="E7" s="47" t="s">
        <v>36</v>
      </c>
      <c r="F7" s="47" t="s">
        <v>35</v>
      </c>
      <c r="G7" s="50">
        <v>685.95</v>
      </c>
      <c r="H7" s="47">
        <v>2.09196917E8</v>
      </c>
      <c r="J7" s="51">
        <v>45981.0</v>
      </c>
      <c r="K7" s="52"/>
      <c r="M7" s="52"/>
      <c r="N7" s="52"/>
      <c r="O7" s="52"/>
      <c r="P7" s="53"/>
    </row>
    <row r="8" ht="39.75" customHeight="1">
      <c r="A8" s="47" t="s">
        <v>37</v>
      </c>
      <c r="B8" s="47" t="s">
        <v>38</v>
      </c>
      <c r="C8" s="47" t="s">
        <v>35</v>
      </c>
      <c r="D8" s="50">
        <v>162.28</v>
      </c>
      <c r="E8" s="47" t="s">
        <v>36</v>
      </c>
      <c r="F8" s="47" t="s">
        <v>35</v>
      </c>
      <c r="G8" s="50">
        <v>162.28</v>
      </c>
      <c r="H8" s="47" t="s">
        <v>39</v>
      </c>
      <c r="I8" s="54" t="s">
        <v>40</v>
      </c>
      <c r="J8" s="55">
        <v>45985.0</v>
      </c>
      <c r="K8" s="52"/>
      <c r="L8" s="52"/>
      <c r="M8" s="52"/>
      <c r="N8" s="52"/>
      <c r="O8" s="52"/>
      <c r="P8" s="53"/>
    </row>
    <row r="9" ht="15.75" customHeight="1">
      <c r="A9" s="47" t="s">
        <v>41</v>
      </c>
      <c r="B9" s="47" t="s">
        <v>42</v>
      </c>
      <c r="C9" s="47" t="s">
        <v>35</v>
      </c>
      <c r="D9" s="50">
        <v>63.01</v>
      </c>
      <c r="E9" s="47" t="s">
        <v>43</v>
      </c>
      <c r="F9" s="47" t="s">
        <v>35</v>
      </c>
      <c r="G9" s="50">
        <v>63.11</v>
      </c>
      <c r="H9" s="47">
        <v>2.09197543E8</v>
      </c>
      <c r="I9" s="52"/>
      <c r="J9" s="51">
        <v>45986.0</v>
      </c>
      <c r="K9" s="52"/>
      <c r="L9" s="52"/>
      <c r="M9" s="52"/>
      <c r="N9" s="52"/>
      <c r="O9" s="52"/>
      <c r="P9" s="20"/>
    </row>
    <row r="10" ht="15.75" customHeight="1">
      <c r="A10" s="56" t="s">
        <v>44</v>
      </c>
      <c r="B10" s="57" t="s">
        <v>45</v>
      </c>
      <c r="C10" s="58"/>
      <c r="D10" s="59"/>
      <c r="E10" s="60"/>
      <c r="F10" s="58"/>
      <c r="G10" s="61">
        <v>0.0</v>
      </c>
      <c r="H10" s="60"/>
      <c r="I10" s="47" t="s">
        <v>46</v>
      </c>
      <c r="J10" s="47" t="s">
        <v>47</v>
      </c>
      <c r="K10" s="52"/>
      <c r="L10" s="52"/>
      <c r="M10" s="52"/>
      <c r="N10" s="52"/>
      <c r="O10" s="52"/>
      <c r="P10" s="20"/>
    </row>
    <row r="11" ht="15.75" customHeight="1">
      <c r="A11" s="47" t="s">
        <v>48</v>
      </c>
      <c r="B11" s="47" t="s">
        <v>34</v>
      </c>
      <c r="C11" s="47" t="s">
        <v>49</v>
      </c>
      <c r="D11" s="50">
        <v>366.12</v>
      </c>
      <c r="E11" s="47" t="s">
        <v>36</v>
      </c>
      <c r="F11" s="47" t="s">
        <v>50</v>
      </c>
      <c r="G11" s="50">
        <v>364.88</v>
      </c>
      <c r="H11" s="47">
        <v>2.10731381E8</v>
      </c>
      <c r="I11" s="52"/>
      <c r="J11" s="51">
        <v>46036.0</v>
      </c>
      <c r="K11" s="52"/>
      <c r="L11" s="52"/>
      <c r="M11" s="52"/>
      <c r="N11" s="52"/>
      <c r="O11" s="52"/>
    </row>
    <row r="12">
      <c r="A12" s="47" t="s">
        <v>51</v>
      </c>
      <c r="B12" s="47" t="s">
        <v>52</v>
      </c>
      <c r="C12" s="47" t="s">
        <v>49</v>
      </c>
      <c r="D12" s="50">
        <v>53.4</v>
      </c>
      <c r="E12" s="47" t="s">
        <v>36</v>
      </c>
      <c r="F12" s="47" t="s">
        <v>50</v>
      </c>
      <c r="G12" s="50" t="s">
        <v>53</v>
      </c>
      <c r="H12" s="47">
        <v>2.10731636E8</v>
      </c>
      <c r="I12" s="47" t="s">
        <v>54</v>
      </c>
      <c r="J12" s="47" t="s">
        <v>47</v>
      </c>
      <c r="K12" s="62"/>
      <c r="L12" s="62"/>
      <c r="M12" s="62"/>
      <c r="N12" s="62"/>
      <c r="O12" s="6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ht="15.75" customHeight="1">
      <c r="A13" s="47" t="s">
        <v>55</v>
      </c>
      <c r="B13" s="47" t="s">
        <v>34</v>
      </c>
      <c r="C13" s="47" t="s">
        <v>56</v>
      </c>
      <c r="D13" s="50">
        <v>24.52</v>
      </c>
      <c r="E13" s="47" t="s">
        <v>36</v>
      </c>
      <c r="F13" s="47" t="s">
        <v>57</v>
      </c>
      <c r="G13" s="50">
        <v>24.52</v>
      </c>
      <c r="H13" s="47">
        <v>2.11458547E8</v>
      </c>
      <c r="I13" s="52"/>
      <c r="J13" s="64">
        <v>46052.0</v>
      </c>
      <c r="K13" s="52"/>
      <c r="L13" s="52"/>
      <c r="M13" s="52"/>
      <c r="N13" s="52"/>
      <c r="O13" s="52"/>
    </row>
    <row r="14">
      <c r="A14" s="47" t="s">
        <v>58</v>
      </c>
      <c r="B14" s="47" t="s">
        <v>59</v>
      </c>
      <c r="C14" s="49">
        <v>46038.0</v>
      </c>
      <c r="D14" s="50">
        <v>106.9</v>
      </c>
      <c r="E14" s="47" t="s">
        <v>25</v>
      </c>
      <c r="F14" s="49">
        <v>46038.0</v>
      </c>
      <c r="G14" s="50">
        <v>106.9</v>
      </c>
      <c r="H14" s="47" t="s">
        <v>60</v>
      </c>
      <c r="I14" s="47" t="s">
        <v>61</v>
      </c>
      <c r="J14" s="64">
        <v>46058.0</v>
      </c>
      <c r="K14" s="52"/>
      <c r="L14" s="52"/>
      <c r="M14" s="52"/>
      <c r="N14" s="52"/>
      <c r="O14" s="52"/>
    </row>
    <row r="15" ht="15.75" customHeight="1">
      <c r="A15" s="47" t="s">
        <v>62</v>
      </c>
      <c r="B15" s="47" t="s">
        <v>38</v>
      </c>
      <c r="C15" s="47" t="s">
        <v>63</v>
      </c>
      <c r="D15" s="50">
        <v>47.5</v>
      </c>
      <c r="E15" s="47" t="s">
        <v>36</v>
      </c>
      <c r="F15" s="47" t="s">
        <v>64</v>
      </c>
      <c r="G15" s="50">
        <v>47.5</v>
      </c>
      <c r="H15" s="47">
        <v>2.11460711E8</v>
      </c>
      <c r="I15" s="52"/>
      <c r="J15" s="51">
        <v>46058.0</v>
      </c>
      <c r="K15" s="52"/>
      <c r="L15" s="52"/>
      <c r="M15" s="52"/>
      <c r="N15" s="52"/>
      <c r="O15" s="52"/>
    </row>
    <row r="16" ht="15.75" customHeight="1">
      <c r="A16" s="47" t="s">
        <v>65</v>
      </c>
      <c r="B16" s="48" t="s">
        <v>42</v>
      </c>
      <c r="C16" s="47" t="s">
        <v>56</v>
      </c>
      <c r="D16" s="50">
        <v>70.67</v>
      </c>
      <c r="E16" s="47" t="s">
        <v>36</v>
      </c>
      <c r="F16" s="47" t="s">
        <v>57</v>
      </c>
      <c r="G16" s="50">
        <v>69.95</v>
      </c>
      <c r="H16" s="47">
        <v>2.1146096E8</v>
      </c>
      <c r="I16" s="52"/>
      <c r="J16" s="65">
        <v>46058.0</v>
      </c>
      <c r="K16" s="52"/>
      <c r="L16" s="52"/>
      <c r="M16" s="52"/>
      <c r="N16" s="52"/>
      <c r="O16" s="52"/>
    </row>
    <row r="17" ht="15.75" customHeight="1">
      <c r="A17" s="47" t="s">
        <v>66</v>
      </c>
      <c r="B17" s="47" t="s">
        <v>34</v>
      </c>
      <c r="C17" s="49">
        <v>46059.0</v>
      </c>
      <c r="D17" s="50">
        <v>10.34</v>
      </c>
      <c r="E17" s="47" t="s">
        <v>67</v>
      </c>
      <c r="F17" s="49">
        <v>46062.0</v>
      </c>
      <c r="G17" s="50">
        <v>10.34</v>
      </c>
      <c r="H17" s="47">
        <v>2.12061321E8</v>
      </c>
      <c r="I17" s="52"/>
      <c r="J17" s="51">
        <v>46070.0</v>
      </c>
      <c r="K17" s="52"/>
      <c r="L17" s="52"/>
      <c r="M17" s="52"/>
      <c r="N17" s="52"/>
      <c r="O17" s="52"/>
    </row>
    <row r="18" ht="15.75" customHeight="1">
      <c r="A18" s="56" t="s">
        <v>68</v>
      </c>
      <c r="B18" s="56" t="s">
        <v>34</v>
      </c>
      <c r="C18" s="66">
        <v>46071.0</v>
      </c>
      <c r="D18" s="67">
        <v>163.09</v>
      </c>
      <c r="E18" s="56" t="s">
        <v>69</v>
      </c>
      <c r="F18" s="66">
        <v>46071.0</v>
      </c>
      <c r="G18" s="67">
        <v>160.04</v>
      </c>
      <c r="H18" s="56">
        <v>2.124559E8</v>
      </c>
      <c r="I18" s="68"/>
      <c r="J18" s="69">
        <v>46080.0</v>
      </c>
      <c r="K18" s="70"/>
      <c r="L18" s="70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</row>
    <row r="19" ht="15.75" customHeight="1">
      <c r="A19" s="48" t="s">
        <v>70</v>
      </c>
      <c r="B19" s="48" t="s">
        <v>71</v>
      </c>
      <c r="C19" s="71">
        <v>46071.0</v>
      </c>
      <c r="D19" s="67">
        <v>121.0</v>
      </c>
      <c r="E19" s="48" t="s">
        <v>69</v>
      </c>
      <c r="F19" s="71">
        <v>46071.0</v>
      </c>
      <c r="G19" s="67">
        <v>121.9</v>
      </c>
      <c r="H19" s="48" t="s">
        <v>72</v>
      </c>
      <c r="I19" s="48" t="s">
        <v>73</v>
      </c>
      <c r="J19" s="72">
        <v>46086.0</v>
      </c>
      <c r="K19" s="70"/>
      <c r="L19" s="70"/>
      <c r="M19" s="68"/>
      <c r="N19" s="68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</row>
    <row r="20" ht="15.75" customHeight="1">
      <c r="A20" s="56" t="s">
        <v>74</v>
      </c>
      <c r="B20" s="56" t="s">
        <v>75</v>
      </c>
      <c r="C20" s="66">
        <v>46071.0</v>
      </c>
      <c r="D20" s="67">
        <v>36.98</v>
      </c>
      <c r="E20" s="56" t="s">
        <v>69</v>
      </c>
      <c r="F20" s="66">
        <v>46071.0</v>
      </c>
      <c r="G20" s="67">
        <v>36.98</v>
      </c>
      <c r="H20" s="56" t="s">
        <v>72</v>
      </c>
      <c r="I20" s="68"/>
      <c r="J20" s="74">
        <v>46076.0</v>
      </c>
      <c r="K20" s="70"/>
      <c r="L20" s="70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</row>
    <row r="21" ht="15.75" customHeight="1">
      <c r="B21" s="75" t="s">
        <v>76</v>
      </c>
      <c r="C21" s="76">
        <v>46101.0</v>
      </c>
      <c r="D21" s="77">
        <v>120.36</v>
      </c>
      <c r="E21" s="78" t="s">
        <v>77</v>
      </c>
      <c r="F21" s="79">
        <v>46101.0</v>
      </c>
      <c r="G21" s="77">
        <v>120.36</v>
      </c>
      <c r="J21" s="75" t="s">
        <v>47</v>
      </c>
      <c r="K21" s="80"/>
      <c r="L21" s="80"/>
      <c r="M21" s="81"/>
      <c r="N21" s="81"/>
    </row>
    <row r="22" ht="15.75" customHeight="1">
      <c r="A22" s="56" t="s">
        <v>78</v>
      </c>
      <c r="B22" s="56" t="s">
        <v>34</v>
      </c>
      <c r="C22" s="66">
        <v>46108.0</v>
      </c>
      <c r="D22" s="67">
        <v>203.46</v>
      </c>
      <c r="E22" s="56" t="s">
        <v>69</v>
      </c>
      <c r="F22" s="66">
        <v>46108.0</v>
      </c>
      <c r="G22" s="67">
        <v>171.16</v>
      </c>
      <c r="H22" s="56">
        <v>2.14111918E8</v>
      </c>
      <c r="I22" s="56"/>
      <c r="J22" s="72">
        <v>46119.0</v>
      </c>
      <c r="K22" s="80"/>
      <c r="L22" s="80"/>
      <c r="M22" s="81"/>
      <c r="N22" s="81"/>
    </row>
    <row r="23" ht="15.75" customHeight="1">
      <c r="A23" s="56" t="s">
        <v>79</v>
      </c>
      <c r="B23" s="56" t="s">
        <v>38</v>
      </c>
      <c r="C23" s="66">
        <v>46108.0</v>
      </c>
      <c r="D23" s="67">
        <v>380.95</v>
      </c>
      <c r="E23" s="56" t="s">
        <v>69</v>
      </c>
      <c r="F23" s="66">
        <v>46108.0</v>
      </c>
      <c r="G23" s="67">
        <v>380.95</v>
      </c>
      <c r="H23" s="56">
        <v>2.14113242E8</v>
      </c>
      <c r="I23" s="56"/>
      <c r="J23" s="72">
        <v>46113.0</v>
      </c>
      <c r="K23" s="80"/>
      <c r="L23" s="80"/>
      <c r="M23" s="81"/>
      <c r="N23" s="81"/>
    </row>
    <row r="24" ht="15.75" customHeight="1">
      <c r="A24" s="56" t="s">
        <v>80</v>
      </c>
      <c r="B24" s="56" t="s">
        <v>59</v>
      </c>
      <c r="C24" s="66">
        <v>46108.0</v>
      </c>
      <c r="D24" s="67">
        <v>216.8</v>
      </c>
      <c r="E24" s="56" t="s">
        <v>69</v>
      </c>
      <c r="F24" s="66">
        <v>46108.0</v>
      </c>
      <c r="G24" s="67">
        <v>216.8</v>
      </c>
      <c r="H24" s="56" t="s">
        <v>81</v>
      </c>
      <c r="I24" s="56" t="s">
        <v>82</v>
      </c>
      <c r="J24" s="72">
        <v>46127.0</v>
      </c>
      <c r="K24" s="80"/>
      <c r="L24" s="80"/>
      <c r="M24" s="81"/>
      <c r="N24" s="81"/>
    </row>
    <row r="25" ht="15.75" customHeight="1">
      <c r="A25" s="56" t="s">
        <v>83</v>
      </c>
      <c r="B25" s="56" t="s">
        <v>75</v>
      </c>
      <c r="C25" s="66">
        <v>46108.0</v>
      </c>
      <c r="D25" s="67">
        <v>56.32</v>
      </c>
      <c r="E25" s="56" t="s">
        <v>69</v>
      </c>
      <c r="F25" s="66">
        <v>46108.0</v>
      </c>
      <c r="G25" s="67">
        <v>56.32</v>
      </c>
      <c r="H25" s="56" t="s">
        <v>84</v>
      </c>
      <c r="I25" s="56" t="s">
        <v>85</v>
      </c>
      <c r="J25" s="74">
        <v>46113.0</v>
      </c>
      <c r="K25" s="80"/>
      <c r="L25" s="80"/>
      <c r="M25" s="81"/>
      <c r="N25" s="81"/>
    </row>
    <row r="26" ht="36.0" customHeight="1">
      <c r="A26" s="82" t="s">
        <v>86</v>
      </c>
      <c r="B26" s="82" t="s">
        <v>34</v>
      </c>
      <c r="C26" s="83">
        <v>46122.0</v>
      </c>
      <c r="D26" s="84">
        <v>37.16</v>
      </c>
      <c r="E26" s="82" t="s">
        <v>69</v>
      </c>
      <c r="F26" s="83">
        <v>46122.0</v>
      </c>
      <c r="G26" s="84">
        <v>37.16</v>
      </c>
      <c r="H26" s="82">
        <v>2.14719849E8</v>
      </c>
      <c r="I26" s="85"/>
      <c r="J26" s="86">
        <v>46129.0</v>
      </c>
      <c r="K26" s="87" t="s">
        <v>87</v>
      </c>
      <c r="L26" s="88"/>
      <c r="M26" s="89"/>
      <c r="N26" s="89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</row>
    <row r="27" ht="15.75" customHeight="1">
      <c r="D27" s="90"/>
      <c r="G27" s="90"/>
      <c r="J27" s="80"/>
      <c r="K27" s="80"/>
      <c r="L27" s="80"/>
      <c r="M27" s="81"/>
      <c r="N27" s="81"/>
    </row>
    <row r="28" ht="15.75" customHeight="1">
      <c r="D28" s="90"/>
      <c r="G28" s="90"/>
      <c r="J28" s="80"/>
      <c r="K28" s="80"/>
      <c r="L28" s="80"/>
      <c r="M28" s="81"/>
      <c r="N28" s="81"/>
    </row>
    <row r="29" ht="15.75" customHeight="1">
      <c r="D29" s="90"/>
      <c r="G29" s="90"/>
      <c r="J29" s="80"/>
      <c r="K29" s="80"/>
      <c r="L29" s="80"/>
      <c r="M29" s="81"/>
      <c r="N29" s="81"/>
    </row>
    <row r="30" ht="15.75" customHeight="1">
      <c r="D30" s="90"/>
      <c r="G30" s="90"/>
      <c r="J30" s="80"/>
      <c r="K30" s="80"/>
      <c r="L30" s="80"/>
      <c r="M30" s="81"/>
      <c r="N30" s="81"/>
    </row>
    <row r="31" ht="15.75" customHeight="1">
      <c r="D31" s="91"/>
      <c r="G31" s="90"/>
      <c r="J31" s="80"/>
      <c r="K31" s="80"/>
      <c r="L31" s="80"/>
      <c r="M31" s="81"/>
      <c r="N31" s="81"/>
    </row>
    <row r="32" ht="15.75" customHeight="1">
      <c r="D32" s="91"/>
      <c r="G32" s="90"/>
      <c r="J32" s="80"/>
      <c r="K32" s="80"/>
      <c r="L32" s="80"/>
      <c r="M32" s="81"/>
      <c r="N32" s="81"/>
    </row>
    <row r="33" ht="15.75" customHeight="1">
      <c r="D33" s="91"/>
      <c r="G33" s="90"/>
      <c r="J33" s="80"/>
      <c r="K33" s="80"/>
      <c r="L33" s="80"/>
      <c r="M33" s="81"/>
      <c r="N33" s="81"/>
    </row>
    <row r="34" ht="15.75" customHeight="1">
      <c r="D34" s="91"/>
      <c r="G34" s="90"/>
      <c r="J34" s="80"/>
      <c r="K34" s="80"/>
      <c r="L34" s="80"/>
      <c r="M34" s="81"/>
      <c r="N34" s="81"/>
    </row>
    <row r="35" ht="15.75" customHeight="1">
      <c r="D35" s="91"/>
      <c r="G35" s="90"/>
      <c r="J35" s="80"/>
      <c r="K35" s="80"/>
      <c r="L35" s="80"/>
      <c r="M35" s="81"/>
      <c r="N35" s="81"/>
    </row>
    <row r="36" ht="15.75" customHeight="1">
      <c r="D36" s="91"/>
      <c r="G36" s="90"/>
      <c r="J36" s="80"/>
      <c r="K36" s="80"/>
      <c r="L36" s="80"/>
      <c r="M36" s="81"/>
      <c r="N36" s="81"/>
    </row>
    <row r="37" ht="15.75" customHeight="1">
      <c r="D37" s="91"/>
      <c r="G37" s="90"/>
      <c r="J37" s="80"/>
      <c r="K37" s="80"/>
      <c r="L37" s="80"/>
      <c r="M37" s="81"/>
      <c r="N37" s="81"/>
    </row>
    <row r="38" ht="15.75" customHeight="1">
      <c r="D38" s="91"/>
      <c r="G38" s="90"/>
      <c r="J38" s="80"/>
      <c r="K38" s="80"/>
      <c r="L38" s="80"/>
      <c r="M38" s="81"/>
      <c r="N38" s="81"/>
    </row>
    <row r="39" ht="15.75" customHeight="1">
      <c r="D39" s="91"/>
      <c r="G39" s="90"/>
      <c r="J39" s="80"/>
      <c r="K39" s="80"/>
      <c r="L39" s="80"/>
      <c r="M39" s="81"/>
      <c r="N39" s="81"/>
    </row>
    <row r="40" ht="15.75" customHeight="1">
      <c r="D40" s="91"/>
      <c r="G40" s="90"/>
      <c r="J40" s="80"/>
      <c r="K40" s="80"/>
      <c r="L40" s="80"/>
      <c r="M40" s="81"/>
      <c r="N40" s="81"/>
    </row>
    <row r="41" ht="15.75" customHeight="1">
      <c r="D41" s="91"/>
      <c r="G41" s="90"/>
      <c r="J41" s="80"/>
      <c r="K41" s="80"/>
      <c r="L41" s="80"/>
      <c r="M41" s="81"/>
      <c r="N41" s="81"/>
    </row>
    <row r="42" ht="15.75" customHeight="1">
      <c r="D42" s="91"/>
      <c r="G42" s="90"/>
      <c r="J42" s="80"/>
      <c r="K42" s="80"/>
      <c r="L42" s="80"/>
      <c r="M42" s="81"/>
      <c r="N42" s="81"/>
    </row>
    <row r="43" ht="15.75" customHeight="1">
      <c r="D43" s="91"/>
      <c r="G43" s="90"/>
      <c r="J43" s="80"/>
      <c r="K43" s="80"/>
      <c r="L43" s="80"/>
      <c r="M43" s="81"/>
      <c r="N43" s="81"/>
    </row>
    <row r="44" ht="15.75" customHeight="1">
      <c r="D44" s="91"/>
      <c r="G44" s="90"/>
      <c r="J44" s="80"/>
      <c r="K44" s="80"/>
      <c r="L44" s="80"/>
      <c r="M44" s="81"/>
      <c r="N44" s="81"/>
    </row>
    <row r="45" ht="15.75" customHeight="1">
      <c r="D45" s="91"/>
      <c r="G45" s="90"/>
      <c r="J45" s="80"/>
      <c r="K45" s="80"/>
      <c r="L45" s="80"/>
      <c r="M45" s="81"/>
      <c r="N45" s="81"/>
    </row>
    <row r="46" ht="15.75" customHeight="1">
      <c r="D46" s="91"/>
      <c r="G46" s="90"/>
      <c r="J46" s="80"/>
      <c r="K46" s="80"/>
      <c r="L46" s="80"/>
      <c r="M46" s="81"/>
      <c r="N46" s="81"/>
    </row>
    <row r="47" ht="15.75" customHeight="1">
      <c r="D47" s="91"/>
      <c r="G47" s="90"/>
      <c r="J47" s="80"/>
      <c r="K47" s="80"/>
      <c r="L47" s="80"/>
      <c r="M47" s="81"/>
      <c r="N47" s="81"/>
    </row>
    <row r="48" ht="15.75" customHeight="1">
      <c r="D48" s="91"/>
      <c r="G48" s="90"/>
      <c r="J48" s="80"/>
      <c r="K48" s="80"/>
      <c r="L48" s="80"/>
      <c r="M48" s="81"/>
      <c r="N48" s="81"/>
    </row>
    <row r="49" ht="15.75" customHeight="1">
      <c r="D49" s="91"/>
      <c r="G49" s="90"/>
      <c r="J49" s="80"/>
      <c r="K49" s="80"/>
      <c r="L49" s="80"/>
      <c r="M49" s="81"/>
      <c r="N49" s="81"/>
    </row>
    <row r="50" ht="15.75" customHeight="1">
      <c r="D50" s="91"/>
      <c r="G50" s="90"/>
      <c r="J50" s="80"/>
      <c r="K50" s="80"/>
      <c r="L50" s="92"/>
      <c r="M50" s="81"/>
      <c r="N50" s="81"/>
    </row>
    <row r="51" ht="15.75" customHeight="1">
      <c r="D51" s="91"/>
      <c r="G51" s="90"/>
      <c r="J51" s="80"/>
      <c r="K51" s="80"/>
      <c r="L51" s="80"/>
      <c r="M51" s="81"/>
      <c r="N51" s="81"/>
    </row>
    <row r="52" ht="15.75" customHeight="1">
      <c r="D52" s="91"/>
      <c r="G52" s="90"/>
      <c r="J52" s="80"/>
      <c r="K52" s="80"/>
      <c r="L52" s="80"/>
      <c r="M52" s="81"/>
      <c r="N52" s="81"/>
    </row>
    <row r="53" ht="15.75" customHeight="1">
      <c r="D53" s="91"/>
      <c r="G53" s="90"/>
      <c r="J53" s="80"/>
      <c r="K53" s="80"/>
      <c r="L53" s="80"/>
      <c r="M53" s="81"/>
      <c r="N53" s="81"/>
    </row>
    <row r="54" ht="15.75" customHeight="1">
      <c r="D54" s="91"/>
      <c r="G54" s="90"/>
      <c r="J54" s="80"/>
      <c r="K54" s="80"/>
      <c r="L54" s="80"/>
      <c r="M54" s="81"/>
      <c r="N54" s="81"/>
    </row>
    <row r="55" ht="15.75" customHeight="1">
      <c r="D55" s="91"/>
      <c r="G55" s="90"/>
      <c r="J55" s="80"/>
      <c r="K55" s="80"/>
      <c r="L55" s="80"/>
      <c r="M55" s="81"/>
      <c r="N55" s="81"/>
    </row>
    <row r="56" ht="15.75" customHeight="1">
      <c r="D56" s="91"/>
      <c r="G56" s="90"/>
      <c r="J56" s="80"/>
      <c r="K56" s="80"/>
      <c r="L56" s="80"/>
      <c r="M56" s="81"/>
      <c r="N56" s="81"/>
    </row>
    <row r="57" ht="15.75" customHeight="1">
      <c r="D57" s="91"/>
      <c r="G57" s="90"/>
      <c r="J57" s="80"/>
      <c r="K57" s="80"/>
      <c r="L57" s="80"/>
      <c r="M57" s="81"/>
      <c r="N57" s="81"/>
    </row>
    <row r="58" ht="15.75" customHeight="1">
      <c r="D58" s="91"/>
      <c r="G58" s="90"/>
      <c r="J58" s="80"/>
      <c r="K58" s="80"/>
      <c r="L58" s="80"/>
      <c r="M58" s="81"/>
      <c r="N58" s="81"/>
    </row>
    <row r="59" ht="15.75" customHeight="1">
      <c r="D59" s="91"/>
      <c r="G59" s="90"/>
      <c r="J59" s="80"/>
      <c r="K59" s="80"/>
      <c r="L59" s="80"/>
      <c r="M59" s="81"/>
      <c r="N59" s="81"/>
    </row>
    <row r="60" ht="15.75" customHeight="1">
      <c r="D60" s="91"/>
      <c r="G60" s="90"/>
      <c r="J60" s="80"/>
      <c r="K60" s="80"/>
      <c r="L60" s="80"/>
      <c r="M60" s="81"/>
      <c r="N60" s="81"/>
    </row>
    <row r="61" ht="15.75" customHeight="1">
      <c r="D61" s="91"/>
      <c r="G61" s="90"/>
      <c r="J61" s="80"/>
      <c r="K61" s="80"/>
      <c r="L61" s="80"/>
      <c r="M61" s="81"/>
      <c r="N61" s="81"/>
    </row>
    <row r="62" ht="15.75" customHeight="1">
      <c r="D62" s="91"/>
      <c r="G62" s="90"/>
      <c r="J62" s="80"/>
      <c r="K62" s="80"/>
      <c r="L62" s="80"/>
      <c r="M62" s="81"/>
      <c r="N62" s="81"/>
    </row>
    <row r="63" ht="15.75" customHeight="1">
      <c r="G63" s="90"/>
      <c r="J63" s="80"/>
      <c r="K63" s="80"/>
      <c r="L63" s="80"/>
      <c r="M63" s="81"/>
      <c r="N63" s="81"/>
    </row>
    <row r="64" ht="15.75" customHeight="1">
      <c r="G64" s="90"/>
      <c r="J64" s="80"/>
      <c r="K64" s="80"/>
      <c r="L64" s="80"/>
      <c r="M64" s="81"/>
      <c r="N64" s="81"/>
    </row>
    <row r="65" ht="15.75" customHeight="1">
      <c r="G65" s="90"/>
      <c r="M65" s="81"/>
      <c r="N65" s="81"/>
    </row>
    <row r="66" ht="15.75" customHeight="1">
      <c r="G66" s="90"/>
      <c r="M66" s="81"/>
      <c r="N66" s="81"/>
    </row>
    <row r="67" ht="15.75" customHeight="1">
      <c r="G67" s="90"/>
      <c r="M67" s="81"/>
      <c r="N67" s="81"/>
    </row>
    <row r="68" ht="15.75" customHeight="1">
      <c r="G68" s="90"/>
      <c r="M68" s="81"/>
      <c r="N68" s="81"/>
    </row>
    <row r="69" ht="15.75" customHeight="1">
      <c r="G69" s="90"/>
      <c r="M69" s="81"/>
      <c r="N69" s="81"/>
    </row>
    <row r="70" ht="15.75" customHeight="1">
      <c r="G70" s="90"/>
      <c r="M70" s="81"/>
      <c r="N70" s="81"/>
    </row>
    <row r="71" ht="15.75" customHeight="1">
      <c r="G71" s="90"/>
      <c r="M71" s="81"/>
      <c r="N71" s="81"/>
    </row>
    <row r="72" ht="15.75" customHeight="1">
      <c r="G72" s="90"/>
      <c r="M72" s="81"/>
      <c r="N72" s="81"/>
    </row>
    <row r="73" ht="15.75" customHeight="1">
      <c r="G73" s="90"/>
      <c r="M73" s="81"/>
      <c r="N73" s="81"/>
    </row>
    <row r="74" ht="15.75" customHeight="1">
      <c r="G74" s="90"/>
      <c r="M74" s="81"/>
      <c r="N74" s="81"/>
    </row>
    <row r="75" ht="15.75" customHeight="1">
      <c r="G75" s="90"/>
      <c r="M75" s="81"/>
      <c r="N75" s="81"/>
    </row>
    <row r="76" ht="15.75" customHeight="1">
      <c r="G76" s="90"/>
      <c r="M76" s="81"/>
      <c r="N76" s="81"/>
    </row>
    <row r="77" ht="15.75" customHeight="1">
      <c r="G77" s="90"/>
      <c r="M77" s="81"/>
      <c r="N77" s="81"/>
    </row>
    <row r="78" ht="15.75" customHeight="1">
      <c r="G78" s="90"/>
      <c r="M78" s="81"/>
      <c r="N78" s="81"/>
    </row>
    <row r="79" ht="15.75" customHeight="1">
      <c r="G79" s="90"/>
      <c r="M79" s="81"/>
      <c r="N79" s="81"/>
    </row>
    <row r="80" ht="15.75" customHeight="1">
      <c r="G80" s="90"/>
      <c r="M80" s="81"/>
      <c r="N80" s="81"/>
    </row>
    <row r="81" ht="15.75" customHeight="1">
      <c r="G81" s="90"/>
      <c r="M81" s="81"/>
      <c r="N81" s="81"/>
    </row>
    <row r="82" ht="15.75" customHeight="1">
      <c r="G82" s="90"/>
      <c r="M82" s="81"/>
      <c r="N82" s="81"/>
    </row>
    <row r="83" ht="15.75" customHeight="1">
      <c r="G83" s="90"/>
      <c r="M83" s="81"/>
      <c r="N83" s="81"/>
    </row>
    <row r="84" ht="15.75" customHeight="1">
      <c r="G84" s="90"/>
      <c r="M84" s="81"/>
      <c r="N84" s="81"/>
    </row>
    <row r="85" ht="15.75" customHeight="1">
      <c r="G85" s="90"/>
      <c r="M85" s="81"/>
      <c r="N85" s="81"/>
    </row>
    <row r="86" ht="15.75" customHeight="1">
      <c r="G86" s="90"/>
      <c r="M86" s="81"/>
      <c r="N86" s="81"/>
    </row>
    <row r="87" ht="15.75" customHeight="1">
      <c r="G87" s="90"/>
      <c r="M87" s="81"/>
      <c r="N87" s="81"/>
    </row>
    <row r="88" ht="15.75" customHeight="1">
      <c r="G88" s="90"/>
      <c r="M88" s="81"/>
      <c r="N88" s="81"/>
    </row>
    <row r="89" ht="15.75" customHeight="1">
      <c r="G89" s="90"/>
      <c r="M89" s="81"/>
      <c r="N89" s="81"/>
    </row>
    <row r="90" ht="15.75" customHeight="1">
      <c r="G90" s="90"/>
      <c r="M90" s="81"/>
      <c r="N90" s="81"/>
    </row>
    <row r="91" ht="15.75" customHeight="1">
      <c r="G91" s="90"/>
      <c r="M91" s="81"/>
      <c r="N91" s="81"/>
    </row>
    <row r="92" ht="15.75" customHeight="1">
      <c r="G92" s="90"/>
      <c r="M92" s="81"/>
      <c r="N92" s="81"/>
    </row>
    <row r="93" ht="15.75" customHeight="1">
      <c r="G93" s="90"/>
      <c r="M93" s="81"/>
      <c r="N93" s="81"/>
    </row>
    <row r="94" ht="15.75" customHeight="1">
      <c r="G94" s="90"/>
      <c r="M94" s="81"/>
      <c r="N94" s="81"/>
    </row>
    <row r="95" ht="15.75" customHeight="1">
      <c r="G95" s="90"/>
      <c r="M95" s="81"/>
      <c r="N95" s="81"/>
    </row>
    <row r="96" ht="15.75" customHeight="1">
      <c r="G96" s="90"/>
      <c r="M96" s="81"/>
      <c r="N96" s="81"/>
    </row>
    <row r="97" ht="15.75" customHeight="1">
      <c r="G97" s="90"/>
      <c r="M97" s="81"/>
      <c r="N97" s="81"/>
    </row>
    <row r="98" ht="15.75" customHeight="1">
      <c r="G98" s="90"/>
      <c r="M98" s="81"/>
      <c r="N98" s="81"/>
    </row>
    <row r="99" ht="15.75" customHeight="1">
      <c r="G99" s="90"/>
      <c r="M99" s="81"/>
      <c r="N99" s="81"/>
    </row>
    <row r="100" ht="15.75" customHeight="1">
      <c r="G100" s="90"/>
      <c r="M100" s="81"/>
      <c r="N100" s="81"/>
    </row>
    <row r="101" ht="15.75" customHeight="1">
      <c r="G101" s="90"/>
      <c r="M101" s="81"/>
      <c r="N101" s="81"/>
    </row>
    <row r="102" ht="15.75" customHeight="1">
      <c r="G102" s="90"/>
      <c r="M102" s="81"/>
      <c r="N102" s="81"/>
    </row>
    <row r="103" ht="15.75" customHeight="1">
      <c r="G103" s="90"/>
      <c r="M103" s="81"/>
      <c r="N103" s="81"/>
    </row>
    <row r="104" ht="15.75" customHeight="1">
      <c r="G104" s="90"/>
      <c r="M104" s="81"/>
      <c r="N104" s="81"/>
    </row>
    <row r="105" ht="15.75" customHeight="1">
      <c r="G105" s="90"/>
      <c r="M105" s="81"/>
      <c r="N105" s="81"/>
    </row>
    <row r="106" ht="15.75" customHeight="1">
      <c r="G106" s="90"/>
      <c r="M106" s="81"/>
      <c r="N106" s="81"/>
    </row>
    <row r="107" ht="15.75" customHeight="1">
      <c r="G107" s="90"/>
      <c r="M107" s="81"/>
      <c r="N107" s="81"/>
    </row>
    <row r="108" ht="15.75" customHeight="1">
      <c r="G108" s="90"/>
      <c r="M108" s="81"/>
      <c r="N108" s="81"/>
    </row>
    <row r="109" ht="15.75" customHeight="1">
      <c r="G109" s="90"/>
      <c r="M109" s="81"/>
      <c r="N109" s="81"/>
    </row>
    <row r="110" ht="15.75" customHeight="1">
      <c r="G110" s="90"/>
      <c r="M110" s="81"/>
      <c r="N110" s="81"/>
    </row>
    <row r="111" ht="15.75" customHeight="1">
      <c r="G111" s="90"/>
      <c r="M111" s="81"/>
      <c r="N111" s="81"/>
    </row>
    <row r="112" ht="15.75" customHeight="1">
      <c r="G112" s="90"/>
      <c r="M112" s="81"/>
      <c r="N112" s="81"/>
    </row>
    <row r="113" ht="15.75" customHeight="1">
      <c r="G113" s="90"/>
      <c r="M113" s="81"/>
      <c r="N113" s="81"/>
    </row>
    <row r="114" ht="15.75" customHeight="1">
      <c r="G114" s="90"/>
      <c r="M114" s="81"/>
      <c r="N114" s="81"/>
    </row>
    <row r="115" ht="15.75" customHeight="1">
      <c r="G115" s="90"/>
      <c r="M115" s="81"/>
      <c r="N115" s="81"/>
    </row>
    <row r="116" ht="15.75" customHeight="1">
      <c r="G116" s="90"/>
      <c r="M116" s="81"/>
      <c r="N116" s="81"/>
    </row>
    <row r="117" ht="15.75" customHeight="1">
      <c r="G117" s="90"/>
      <c r="M117" s="81"/>
      <c r="N117" s="81"/>
    </row>
    <row r="118" ht="15.75" customHeight="1">
      <c r="G118" s="90"/>
      <c r="M118" s="81"/>
      <c r="N118" s="81"/>
    </row>
    <row r="119" ht="15.75" customHeight="1">
      <c r="G119" s="90"/>
      <c r="M119" s="81"/>
      <c r="N119" s="81"/>
    </row>
    <row r="120" ht="15.75" customHeight="1">
      <c r="G120" s="90"/>
      <c r="M120" s="81"/>
      <c r="N120" s="81"/>
    </row>
    <row r="121" ht="15.75" customHeight="1">
      <c r="G121" s="90"/>
      <c r="M121" s="81"/>
      <c r="N121" s="81"/>
    </row>
    <row r="122" ht="15.75" customHeight="1">
      <c r="G122" s="90"/>
      <c r="M122" s="81"/>
      <c r="N122" s="81"/>
    </row>
    <row r="123" ht="15.75" customHeight="1">
      <c r="G123" s="90"/>
      <c r="M123" s="81"/>
      <c r="N123" s="81"/>
    </row>
    <row r="124" ht="15.75" customHeight="1">
      <c r="G124" s="90"/>
      <c r="M124" s="81"/>
      <c r="N124" s="81"/>
    </row>
    <row r="125" ht="15.75" customHeight="1">
      <c r="G125" s="90"/>
      <c r="M125" s="81"/>
      <c r="N125" s="81"/>
    </row>
    <row r="126" ht="15.75" customHeight="1">
      <c r="G126" s="90"/>
      <c r="M126" s="81"/>
      <c r="N126" s="81"/>
    </row>
    <row r="127" ht="15.75" customHeight="1">
      <c r="G127" s="90"/>
      <c r="M127" s="81"/>
      <c r="N127" s="81"/>
    </row>
    <row r="128" ht="15.75" customHeight="1">
      <c r="G128" s="90"/>
      <c r="M128" s="81"/>
      <c r="N128" s="81"/>
    </row>
    <row r="129" ht="15.75" customHeight="1">
      <c r="G129" s="90"/>
      <c r="M129" s="81"/>
      <c r="N129" s="81"/>
    </row>
    <row r="130" ht="15.75" customHeight="1">
      <c r="G130" s="90"/>
      <c r="M130" s="81"/>
      <c r="N130" s="81"/>
    </row>
    <row r="131" ht="15.75" customHeight="1">
      <c r="G131" s="90"/>
      <c r="M131" s="81"/>
      <c r="N131" s="81"/>
    </row>
    <row r="132" ht="15.75" customHeight="1">
      <c r="G132" s="90"/>
      <c r="M132" s="81"/>
      <c r="N132" s="81"/>
    </row>
    <row r="133" ht="15.75" customHeight="1">
      <c r="G133" s="90"/>
      <c r="M133" s="81"/>
      <c r="N133" s="81"/>
    </row>
    <row r="134" ht="15.75" customHeight="1">
      <c r="G134" s="90"/>
      <c r="M134" s="81"/>
      <c r="N134" s="81"/>
    </row>
    <row r="135" ht="15.75" customHeight="1">
      <c r="G135" s="90"/>
      <c r="M135" s="81"/>
      <c r="N135" s="81"/>
    </row>
    <row r="136" ht="15.75" customHeight="1">
      <c r="G136" s="90"/>
      <c r="M136" s="81"/>
      <c r="N136" s="81"/>
    </row>
    <row r="137" ht="15.75" customHeight="1">
      <c r="G137" s="90"/>
      <c r="M137" s="81"/>
      <c r="N137" s="81"/>
    </row>
    <row r="138" ht="15.75" customHeight="1">
      <c r="G138" s="90"/>
      <c r="M138" s="81"/>
      <c r="N138" s="81"/>
    </row>
    <row r="139" ht="15.75" customHeight="1">
      <c r="G139" s="90"/>
      <c r="M139" s="81"/>
      <c r="N139" s="81"/>
    </row>
    <row r="140" ht="15.75" customHeight="1">
      <c r="G140" s="90"/>
      <c r="M140" s="81"/>
      <c r="N140" s="81"/>
    </row>
    <row r="141" ht="15.75" customHeight="1">
      <c r="G141" s="90"/>
      <c r="M141" s="81"/>
      <c r="N141" s="81"/>
    </row>
    <row r="142" ht="15.75" customHeight="1">
      <c r="G142" s="90"/>
      <c r="M142" s="81"/>
      <c r="N142" s="81"/>
    </row>
    <row r="143" ht="15.75" customHeight="1">
      <c r="G143" s="90"/>
      <c r="M143" s="81"/>
      <c r="N143" s="81"/>
    </row>
    <row r="144" ht="15.75" customHeight="1">
      <c r="G144" s="90"/>
      <c r="M144" s="81"/>
      <c r="N144" s="81"/>
    </row>
    <row r="145" ht="15.75" customHeight="1">
      <c r="G145" s="90"/>
      <c r="M145" s="81"/>
      <c r="N145" s="81"/>
    </row>
    <row r="146" ht="15.75" customHeight="1">
      <c r="G146" s="90"/>
      <c r="M146" s="81"/>
      <c r="N146" s="81"/>
    </row>
    <row r="147" ht="15.75" customHeight="1">
      <c r="G147" s="90"/>
      <c r="M147" s="81"/>
      <c r="N147" s="81"/>
    </row>
    <row r="148" ht="15.75" customHeight="1">
      <c r="G148" s="90"/>
      <c r="M148" s="81"/>
      <c r="N148" s="81"/>
    </row>
    <row r="149" ht="15.75" customHeight="1">
      <c r="G149" s="90"/>
      <c r="M149" s="81"/>
      <c r="N149" s="81"/>
    </row>
    <row r="150" ht="15.75" customHeight="1">
      <c r="G150" s="90"/>
      <c r="M150" s="81"/>
      <c r="N150" s="81"/>
    </row>
    <row r="151" ht="15.75" customHeight="1">
      <c r="G151" s="90"/>
      <c r="M151" s="81"/>
      <c r="N151" s="81"/>
    </row>
    <row r="152" ht="15.75" customHeight="1">
      <c r="G152" s="90"/>
      <c r="M152" s="81"/>
      <c r="N152" s="81"/>
    </row>
    <row r="153" ht="15.75" customHeight="1">
      <c r="G153" s="90"/>
      <c r="M153" s="81"/>
      <c r="N153" s="81"/>
    </row>
    <row r="154" ht="15.75" customHeight="1">
      <c r="G154" s="90"/>
      <c r="M154" s="81"/>
      <c r="N154" s="81"/>
    </row>
    <row r="155" ht="15.75" customHeight="1">
      <c r="G155" s="90"/>
      <c r="M155" s="81"/>
      <c r="N155" s="81"/>
    </row>
    <row r="156" ht="15.75" customHeight="1">
      <c r="G156" s="90"/>
      <c r="M156" s="81"/>
      <c r="N156" s="81"/>
    </row>
    <row r="157" ht="15.75" customHeight="1">
      <c r="G157" s="90"/>
      <c r="M157" s="81"/>
      <c r="N157" s="81"/>
    </row>
    <row r="158" ht="15.75" customHeight="1">
      <c r="G158" s="90"/>
      <c r="M158" s="81"/>
      <c r="N158" s="81"/>
    </row>
    <row r="159" ht="15.75" customHeight="1">
      <c r="G159" s="90"/>
      <c r="M159" s="81"/>
      <c r="N159" s="81"/>
    </row>
    <row r="160" ht="15.75" customHeight="1">
      <c r="G160" s="90"/>
      <c r="M160" s="81"/>
      <c r="N160" s="81"/>
    </row>
    <row r="161" ht="15.75" customHeight="1">
      <c r="G161" s="90"/>
      <c r="M161" s="81"/>
      <c r="N161" s="81"/>
    </row>
    <row r="162" ht="15.75" customHeight="1">
      <c r="G162" s="90"/>
      <c r="M162" s="81"/>
      <c r="N162" s="81"/>
    </row>
    <row r="163" ht="15.75" customHeight="1">
      <c r="G163" s="90"/>
      <c r="M163" s="81"/>
      <c r="N163" s="81"/>
    </row>
    <row r="164" ht="15.75" customHeight="1">
      <c r="G164" s="90"/>
      <c r="M164" s="81"/>
      <c r="N164" s="81"/>
    </row>
    <row r="165" ht="15.75" customHeight="1">
      <c r="G165" s="90"/>
      <c r="M165" s="81"/>
      <c r="N165" s="81"/>
    </row>
    <row r="166" ht="15.75" customHeight="1">
      <c r="G166" s="90"/>
      <c r="M166" s="81"/>
      <c r="N166" s="81"/>
    </row>
    <row r="167" ht="15.75" customHeight="1">
      <c r="G167" s="90"/>
      <c r="M167" s="81"/>
      <c r="N167" s="81"/>
    </row>
    <row r="168" ht="15.75" customHeight="1">
      <c r="G168" s="90"/>
      <c r="M168" s="81"/>
      <c r="N168" s="81"/>
    </row>
    <row r="169" ht="15.75" customHeight="1">
      <c r="G169" s="90"/>
      <c r="M169" s="81"/>
      <c r="N169" s="81"/>
    </row>
    <row r="170" ht="15.75" customHeight="1">
      <c r="G170" s="90"/>
      <c r="M170" s="81"/>
      <c r="N170" s="81"/>
    </row>
    <row r="171" ht="15.75" customHeight="1">
      <c r="G171" s="90"/>
      <c r="M171" s="81"/>
      <c r="N171" s="81"/>
    </row>
    <row r="172" ht="15.75" customHeight="1">
      <c r="G172" s="90"/>
      <c r="M172" s="81"/>
      <c r="N172" s="81"/>
    </row>
    <row r="173" ht="15.75" customHeight="1">
      <c r="G173" s="90"/>
      <c r="M173" s="81"/>
      <c r="N173" s="81"/>
    </row>
    <row r="174" ht="15.75" customHeight="1">
      <c r="G174" s="90"/>
      <c r="M174" s="81"/>
      <c r="N174" s="81"/>
    </row>
    <row r="175" ht="15.75" customHeight="1">
      <c r="G175" s="90"/>
      <c r="M175" s="81"/>
      <c r="N175" s="81"/>
    </row>
    <row r="176" ht="15.75" customHeight="1">
      <c r="G176" s="90"/>
      <c r="M176" s="81"/>
      <c r="N176" s="81"/>
    </row>
    <row r="177" ht="15.75" customHeight="1">
      <c r="G177" s="90"/>
      <c r="M177" s="81"/>
      <c r="N177" s="81"/>
    </row>
    <row r="178" ht="15.75" customHeight="1">
      <c r="G178" s="90"/>
      <c r="M178" s="81"/>
      <c r="N178" s="81"/>
    </row>
    <row r="179" ht="15.75" customHeight="1">
      <c r="G179" s="90"/>
      <c r="M179" s="81"/>
      <c r="N179" s="81"/>
    </row>
    <row r="180" ht="15.75" customHeight="1">
      <c r="G180" s="90"/>
      <c r="M180" s="81"/>
      <c r="N180" s="81"/>
    </row>
    <row r="181" ht="15.75" customHeight="1">
      <c r="G181" s="90"/>
      <c r="M181" s="81"/>
      <c r="N181" s="81"/>
    </row>
    <row r="182" ht="15.75" customHeight="1">
      <c r="G182" s="90"/>
      <c r="M182" s="81"/>
      <c r="N182" s="81"/>
    </row>
    <row r="183" ht="15.75" customHeight="1">
      <c r="G183" s="90"/>
      <c r="M183" s="81"/>
      <c r="N183" s="81"/>
    </row>
    <row r="184" ht="15.75" customHeight="1">
      <c r="G184" s="90"/>
      <c r="M184" s="81"/>
      <c r="N184" s="81"/>
    </row>
    <row r="185" ht="15.75" customHeight="1">
      <c r="G185" s="90"/>
      <c r="M185" s="81"/>
      <c r="N185" s="81"/>
    </row>
    <row r="186" ht="15.75" customHeight="1">
      <c r="G186" s="90"/>
      <c r="M186" s="81"/>
      <c r="N186" s="81"/>
    </row>
    <row r="187" ht="15.75" customHeight="1">
      <c r="G187" s="90"/>
      <c r="M187" s="81"/>
      <c r="N187" s="81"/>
    </row>
    <row r="188" ht="15.75" customHeight="1">
      <c r="G188" s="90"/>
      <c r="M188" s="81"/>
      <c r="N188" s="81"/>
    </row>
    <row r="189" ht="15.75" customHeight="1">
      <c r="G189" s="90"/>
      <c r="M189" s="81"/>
      <c r="N189" s="81"/>
    </row>
    <row r="190" ht="15.75" customHeight="1">
      <c r="G190" s="90"/>
      <c r="M190" s="81"/>
      <c r="N190" s="81"/>
    </row>
    <row r="191" ht="15.75" customHeight="1">
      <c r="G191" s="90"/>
      <c r="M191" s="81"/>
      <c r="N191" s="81"/>
    </row>
    <row r="192" ht="15.75" customHeight="1">
      <c r="G192" s="90"/>
      <c r="M192" s="81"/>
      <c r="N192" s="81"/>
    </row>
    <row r="193" ht="15.75" customHeight="1">
      <c r="G193" s="90"/>
      <c r="M193" s="81"/>
      <c r="N193" s="81"/>
    </row>
    <row r="194" ht="15.75" customHeight="1">
      <c r="G194" s="90"/>
      <c r="M194" s="81"/>
      <c r="N194" s="81"/>
    </row>
    <row r="195" ht="15.75" customHeight="1">
      <c r="G195" s="90"/>
      <c r="M195" s="81"/>
      <c r="N195" s="81"/>
    </row>
    <row r="196" ht="15.75" customHeight="1">
      <c r="G196" s="90"/>
      <c r="M196" s="81"/>
      <c r="N196" s="81"/>
    </row>
    <row r="197" ht="15.75" customHeight="1">
      <c r="G197" s="90"/>
      <c r="M197" s="81"/>
      <c r="N197" s="81"/>
    </row>
    <row r="198" ht="15.75" customHeight="1">
      <c r="G198" s="90"/>
      <c r="M198" s="81"/>
      <c r="N198" s="81"/>
    </row>
    <row r="199" ht="15.75" customHeight="1">
      <c r="G199" s="90"/>
      <c r="M199" s="81"/>
      <c r="N199" s="81"/>
    </row>
    <row r="200" ht="15.75" customHeight="1">
      <c r="G200" s="90"/>
      <c r="M200" s="81"/>
      <c r="N200" s="81"/>
    </row>
    <row r="201" ht="15.75" customHeight="1">
      <c r="G201" s="90"/>
      <c r="M201" s="81"/>
      <c r="N201" s="81"/>
    </row>
    <row r="202" ht="15.75" customHeight="1">
      <c r="G202" s="90"/>
      <c r="M202" s="81"/>
      <c r="N202" s="81"/>
    </row>
    <row r="203" ht="15.75" customHeight="1">
      <c r="G203" s="90"/>
      <c r="M203" s="81"/>
      <c r="N203" s="81"/>
    </row>
    <row r="204" ht="15.75" customHeight="1">
      <c r="G204" s="90"/>
      <c r="M204" s="81"/>
      <c r="N204" s="81"/>
    </row>
    <row r="205" ht="15.75" customHeight="1">
      <c r="G205" s="90"/>
      <c r="M205" s="81"/>
      <c r="N205" s="81"/>
    </row>
    <row r="206" ht="15.75" customHeight="1">
      <c r="G206" s="90"/>
      <c r="M206" s="81"/>
      <c r="N206" s="81"/>
    </row>
    <row r="207" ht="15.75" customHeight="1">
      <c r="G207" s="90"/>
      <c r="M207" s="81"/>
      <c r="N207" s="81"/>
    </row>
    <row r="208" ht="15.75" customHeight="1">
      <c r="G208" s="90"/>
      <c r="M208" s="81"/>
      <c r="N208" s="81"/>
    </row>
    <row r="209" ht="15.75" customHeight="1">
      <c r="G209" s="90"/>
      <c r="M209" s="81"/>
      <c r="N209" s="81"/>
    </row>
    <row r="210" ht="15.75" customHeight="1">
      <c r="G210" s="90"/>
      <c r="M210" s="81"/>
      <c r="N210" s="81"/>
    </row>
    <row r="211" ht="15.75" customHeight="1">
      <c r="G211" s="90"/>
      <c r="M211" s="81"/>
      <c r="N211" s="81"/>
    </row>
    <row r="212" ht="15.75" customHeight="1">
      <c r="G212" s="90"/>
      <c r="M212" s="81"/>
      <c r="N212" s="81"/>
    </row>
    <row r="213" ht="15.75" customHeight="1">
      <c r="G213" s="90"/>
      <c r="M213" s="81"/>
      <c r="N213" s="81"/>
    </row>
    <row r="214" ht="15.75" customHeight="1">
      <c r="G214" s="90"/>
      <c r="M214" s="81"/>
      <c r="N214" s="81"/>
    </row>
    <row r="215" ht="15.75" customHeight="1">
      <c r="G215" s="90"/>
      <c r="M215" s="81"/>
      <c r="N215" s="81"/>
    </row>
    <row r="216" ht="15.75" customHeight="1">
      <c r="G216" s="90"/>
      <c r="M216" s="81"/>
      <c r="N216" s="81"/>
    </row>
    <row r="217" ht="15.75" customHeight="1">
      <c r="G217" s="90"/>
      <c r="M217" s="81"/>
      <c r="N217" s="81"/>
    </row>
    <row r="218" ht="15.75" customHeight="1">
      <c r="G218" s="90"/>
      <c r="M218" s="81"/>
      <c r="N218" s="81"/>
    </row>
    <row r="219" ht="15.75" customHeight="1">
      <c r="G219" s="90"/>
      <c r="M219" s="81"/>
      <c r="N219" s="81"/>
    </row>
    <row r="220" ht="15.75" customHeight="1">
      <c r="G220" s="90"/>
      <c r="M220" s="81"/>
      <c r="N220" s="81"/>
    </row>
    <row r="221" ht="15.75" customHeight="1">
      <c r="G221" s="90"/>
      <c r="M221" s="81"/>
      <c r="N221" s="81"/>
    </row>
    <row r="222" ht="15.75" customHeight="1">
      <c r="G222" s="90"/>
      <c r="M222" s="81"/>
      <c r="N222" s="81"/>
    </row>
    <row r="223" ht="15.75" customHeight="1">
      <c r="G223" s="90"/>
      <c r="M223" s="81"/>
      <c r="N223" s="8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A1:B3"/>
    <mergeCell ref="L2:O3"/>
  </mergeCells>
  <drawing r:id="rId2"/>
  <legacyDrawing r:id="rId3"/>
</worksheet>
</file>