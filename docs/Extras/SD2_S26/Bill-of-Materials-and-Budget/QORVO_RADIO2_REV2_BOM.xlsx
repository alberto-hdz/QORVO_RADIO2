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ORVO_RADIO2_REV2_B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tc={800e7e74-7f7a-4835-a646-7189a3809bae}</author>
  </authors>
  <commentList>
    <comment authorId="0" xr:uid="{800e7e74-7f7a-4835-a646-7189a3809bae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link, maybe https://www.digikey.com/en/products/detail/yageo/RC0402FR-071KL/726513
</t>
      </text>
    </comment>
  </commentList>
</comments>
</file>

<file path=xl/sharedStrings.xml><?xml version="1.0" encoding="utf-8"?>
<sst xmlns="http://schemas.openxmlformats.org/spreadsheetml/2006/main" count="304" uniqueCount="171">
  <si>
    <t>Id</t>
  </si>
  <si>
    <t>Designator</t>
  </si>
  <si>
    <t>Footprint</t>
  </si>
  <si>
    <t>Quantity</t>
  </si>
  <si>
    <t>5 Board amount</t>
  </si>
  <si>
    <t>Designation</t>
  </si>
  <si>
    <t>Supplier and ref</t>
  </si>
  <si>
    <t>In Inventory</t>
  </si>
  <si>
    <t>Need to order</t>
  </si>
  <si>
    <t>Cost per unit</t>
  </si>
  <si>
    <t>total cost</t>
  </si>
  <si>
    <t>Comments</t>
  </si>
  <si>
    <t>J13,J7,J8,J2,J4,J10,J12,U10,J11,J9,J6,J14</t>
  </si>
  <si>
    <t>CONN_SD-4030-0001_02_MOL</t>
  </si>
  <si>
    <t>Digikey</t>
  </si>
  <si>
    <t>R25,R24,R23,R22,R21,R20,R4,R10,R1,R2</t>
  </si>
  <si>
    <t>R_0603_1608Metric</t>
  </si>
  <si>
    <t>0 Ohm</t>
  </si>
  <si>
    <t>L3,L1</t>
  </si>
  <si>
    <t>L_0402_1005Metric</t>
  </si>
  <si>
    <t>3.2 nH</t>
  </si>
  <si>
    <t>L5</t>
  </si>
  <si>
    <t>INDC1608X95N</t>
  </si>
  <si>
    <t>3.3 uH</t>
  </si>
  <si>
    <t>8 In stock will order more</t>
  </si>
  <si>
    <t>U13,U12,U14,U15</t>
  </si>
  <si>
    <t>MountingHole_3.2mm_M3_DIN965_Pad_TopBottom</t>
  </si>
  <si>
    <t>~</t>
  </si>
  <si>
    <t>(Mounting hole on board)</t>
  </si>
  <si>
    <t>N/A</t>
  </si>
  <si>
    <t>R9,U21,U20</t>
  </si>
  <si>
    <t>DNP</t>
  </si>
  <si>
    <t>C14,C16,C26,C47,C35,C13,C24,C44,C23,C45</t>
  </si>
  <si>
    <t>C_0603_1608Metric</t>
  </si>
  <si>
    <t>0.1 uF</t>
  </si>
  <si>
    <t>48 In inventory will order more</t>
  </si>
  <si>
    <t>C5,C48,C22,C4,C25,C43,C17,C20,C15,C21</t>
  </si>
  <si>
    <t>1 uF</t>
  </si>
  <si>
    <t>53 in inventory will order more</t>
  </si>
  <si>
    <t>Y1</t>
  </si>
  <si>
    <t>XTAL_8Q-32.000MEEV-T</t>
  </si>
  <si>
    <t>8Q-32.000MEEV-T</t>
  </si>
  <si>
    <t>5 In inventory will order more</t>
  </si>
  <si>
    <t>J5,J3</t>
  </si>
  <si>
    <t>CONN_SD-4030-0001_04_MOL</t>
  </si>
  <si>
    <t>C10,C11</t>
  </si>
  <si>
    <t>1.8 pF</t>
  </si>
  <si>
    <t>10 In inventory will order more</t>
  </si>
  <si>
    <t>U1</t>
  </si>
  <si>
    <t>DRB8_1P6X2P4</t>
  </si>
  <si>
    <t>BQ29209DRBR</t>
  </si>
  <si>
    <t>None in inventory , will order with surplus</t>
  </si>
  <si>
    <t>C33,C39,C37,C38,C34,C6</t>
  </si>
  <si>
    <t>R17</t>
  </si>
  <si>
    <t>100 Ohm</t>
  </si>
  <si>
    <t>R19</t>
  </si>
  <si>
    <t>R_0805_2012Metric</t>
  </si>
  <si>
    <t>1 Ohm</t>
  </si>
  <si>
    <t>4 in inventory will order more</t>
  </si>
  <si>
    <t>C28,C27,C41</t>
  </si>
  <si>
    <t>10 uF</t>
  </si>
  <si>
    <t xml:space="preserve">6 in inventory </t>
  </si>
  <si>
    <t>C3</t>
  </si>
  <si>
    <t>CAP_CC0402_YAG</t>
  </si>
  <si>
    <t>0.18 uF</t>
  </si>
  <si>
    <t>7 in inventory will order more</t>
  </si>
  <si>
    <t>R18</t>
  </si>
  <si>
    <t>1 kOhm</t>
  </si>
  <si>
    <t>U18</t>
  </si>
  <si>
    <t>DGK8_TEX</t>
  </si>
  <si>
    <t>DAC6551AQDGKRQ1</t>
  </si>
  <si>
    <t>6 in inventory will order more</t>
  </si>
  <si>
    <t>SW6,SW4,SW3,SW2,SW1,SW5</t>
  </si>
  <si>
    <t>SPDT_OS102011_CNK</t>
  </si>
  <si>
    <t>OS102011MS2QN1</t>
  </si>
  <si>
    <t>17 in invenrtoy ordering surplus</t>
  </si>
  <si>
    <t>R14</t>
  </si>
  <si>
    <t>330 Ohm</t>
  </si>
  <si>
    <t>C32</t>
  </si>
  <si>
    <t>CC0603N_YAG</t>
  </si>
  <si>
    <t>270 pF</t>
  </si>
  <si>
    <t>C12,C29</t>
  </si>
  <si>
    <t>CAPC17090_87N_KEM-M</t>
  </si>
  <si>
    <t>1.2 pF</t>
  </si>
  <si>
    <t>TeamNames2</t>
  </si>
  <si>
    <t>Untitled</t>
  </si>
  <si>
    <t>C31,C30</t>
  </si>
  <si>
    <t>2.2 pF</t>
  </si>
  <si>
    <t>10 in invenrotry will order more</t>
  </si>
  <si>
    <t>R12</t>
  </si>
  <si>
    <t>RC0603N_YAG</t>
  </si>
  <si>
    <t>9.31 kOhm</t>
  </si>
  <si>
    <t>IC1</t>
  </si>
  <si>
    <t>SQA24B</t>
  </si>
  <si>
    <t>LM48511SQX_NOPB</t>
  </si>
  <si>
    <t>7 in inventory</t>
  </si>
  <si>
    <t>R13</t>
  </si>
  <si>
    <t>1 KOhm</t>
  </si>
  <si>
    <t>U17</t>
  </si>
  <si>
    <t>DFN6_3X3_STM</t>
  </si>
  <si>
    <t>LDO40LPU33RY</t>
  </si>
  <si>
    <t>3 in inventory will order more</t>
  </si>
  <si>
    <t>J15</t>
  </si>
  <si>
    <t>CONN_SMA-J-P-H-ST-TH1_SAI</t>
  </si>
  <si>
    <t>SMA-J-P-H-ST-TH1</t>
  </si>
  <si>
    <t>J1</t>
  </si>
  <si>
    <t>CONN_GRPB052_SUL</t>
  </si>
  <si>
    <t>GRPB052VWQS-RC</t>
  </si>
  <si>
    <t>Inventory unknown</t>
  </si>
  <si>
    <t>C7,C9,C40,C8</t>
  </si>
  <si>
    <t>18 pF</t>
  </si>
  <si>
    <t>19 in inventory will order more</t>
  </si>
  <si>
    <t>B1,B2</t>
  </si>
  <si>
    <t>CONN2_B2B-PH-K-S_JST</t>
  </si>
  <si>
    <t>B2B-PH-K-S</t>
  </si>
  <si>
    <t>R11</t>
  </si>
  <si>
    <t>160 Ohm</t>
  </si>
  <si>
    <t>R15,R16</t>
  </si>
  <si>
    <t>260 Ohm</t>
  </si>
  <si>
    <t>Viable replacement for 260 ohm, None in inventory , will order with surplus</t>
  </si>
  <si>
    <t>C46</t>
  </si>
  <si>
    <t>0.33 uF</t>
  </si>
  <si>
    <t>R5</t>
  </si>
  <si>
    <t>RES_RNCF0603_STP</t>
  </si>
  <si>
    <t>2.5 kOhm</t>
  </si>
  <si>
    <t>7 In invnetory none needed</t>
  </si>
  <si>
    <t>InvertedF1</t>
  </si>
  <si>
    <t>InvertedF</t>
  </si>
  <si>
    <t>C19</t>
  </si>
  <si>
    <t>GRM21BR60G107ME11L</t>
  </si>
  <si>
    <t>100 uF</t>
  </si>
  <si>
    <t>L2</t>
  </si>
  <si>
    <t>IND25X25CZ-M</t>
  </si>
  <si>
    <t>6.8 uH</t>
  </si>
  <si>
    <t>CR1</t>
  </si>
  <si>
    <t>M-FLAT_TOS-M</t>
  </si>
  <si>
    <t>CMS11TE12L_Q_M</t>
  </si>
  <si>
    <t>13 in invnetory none needed</t>
  </si>
  <si>
    <t>R7</t>
  </si>
  <si>
    <t>CR0603-FX-4871ELF</t>
  </si>
  <si>
    <t>4.87 kOhm</t>
  </si>
  <si>
    <t>7 In inventory none needed</t>
  </si>
  <si>
    <t>C18,C1,C2</t>
  </si>
  <si>
    <t>4.7 uF</t>
  </si>
  <si>
    <t>14 in stock ordering surplus</t>
  </si>
  <si>
    <t>C36</t>
  </si>
  <si>
    <t>2.2 uF</t>
  </si>
  <si>
    <t>2 in inventory ordering extra</t>
  </si>
  <si>
    <t>R6,R3</t>
  </si>
  <si>
    <t>20 kOhm</t>
  </si>
  <si>
    <t>Inventory unknown, ordering surplus</t>
  </si>
  <si>
    <t>U16</t>
  </si>
  <si>
    <t>LDO40LPU50RY</t>
  </si>
  <si>
    <t>6 in inventory rodering extra</t>
  </si>
  <si>
    <t>U3</t>
  </si>
  <si>
    <t>QPG6200LSR</t>
  </si>
  <si>
    <t>Mouser</t>
  </si>
  <si>
    <t>5 i inventory, ordering extra</t>
  </si>
  <si>
    <t>R8</t>
  </si>
  <si>
    <t>25.5 kOhm</t>
  </si>
  <si>
    <t>7 in inventory none needed</t>
  </si>
  <si>
    <t>U4</t>
  </si>
  <si>
    <t>SPG08P4HM4H-1</t>
  </si>
  <si>
    <t>Invnetory unknown</t>
  </si>
  <si>
    <t>D1</t>
  </si>
  <si>
    <t>DFLS230LH-7</t>
  </si>
  <si>
    <t>UBBP01</t>
  </si>
  <si>
    <t>OSH Park Boards (6)</t>
  </si>
  <si>
    <t>With next day shipping</t>
  </si>
  <si>
    <t>Osh Stencil (3)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</si>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</sst>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ORVO_RADIO2_REV2_B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than Hartman" id="{f0f7cf64-9504-42c5-a9a4-7e226b35448e}" providerId="google-sheets"/>
</x18tc:personList>
</file>

<file path=xl/tables/table1.xml><?xml version="1.0" encoding="utf-8"?>
<table xmlns="http://schemas.openxmlformats.org/spreadsheetml/2006/main" ref="A1:L54" displayName="Table1" name="Table1" id="1">
  <tableColumns count="12">
    <tableColumn name="Id" id="1"/>
    <tableColumn name="Designator" id="2"/>
    <tableColumn name="Footprint" id="3"/>
    <tableColumn name="Quantity" id="4"/>
    <tableColumn name="5 Board amount" id="5"/>
    <tableColumn name="Designation" id="6"/>
    <tableColumn name="Supplier and ref" id="7"/>
    <tableColumn name="In Inventory" id="8"/>
    <tableColumn name="Need to order" id="9"/>
    <tableColumn name="Cost per unit" id="10"/>
    <tableColumn name="total cost" id="11"/>
    <tableColumn name="Comments" id="12"/>
  </tableColumns>
  <tableStyleInfo name="QORVO_RADIO2_REV2_B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9" dT="2026-03-18T07:04:14.00" personId="{f0f7cf64-9504-42c5-a9a4-7e226b35448e}" id="{800e7e74-7f7a-4835-a646-7189a3809bae}" done="0">
    <x18tc:text xml:space="preserve">No link, maybe https://www.digikey.com/en/products/detail/yageo/RC0402FR-071KL/726513</x18tc:text>
    <x18tc:extLst>
      <ext uri="{F7C98A9C-CBB3-438F-8F68-D28B6AF4A901}">
        <xltc2:checksum/>
        <xltc2:hyperlink startIndex="15" length="70" url="https://www.digikey.com/en/products/detail/yageo/RC0402FR-071KL/726513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samsung-electro-mechanics/CL10A475KP8NNNC/3886702" TargetMode="External"/><Relationship Id="rId42" Type="http://schemas.openxmlformats.org/officeDocument/2006/relationships/hyperlink" Target="https://www.digikey.com/en/products/detail/koa-speer-electronics-inc/RK73B1JTTD203J/9844738" TargetMode="External"/><Relationship Id="rId41" Type="http://schemas.openxmlformats.org/officeDocument/2006/relationships/hyperlink" Target="https://www.digikey.com/en/products/detail/samsung-electro-mechanics/CL10A225KO8NNNC/3886698" TargetMode="External"/><Relationship Id="rId44" Type="http://schemas.openxmlformats.org/officeDocument/2006/relationships/hyperlink" Target="https://www.mouser.com/ProductDetail/Qorvo/QPG6200LTR13?qs=NeOn4crkEutpNptYrF3YFA%3D%3D" TargetMode="External"/><Relationship Id="rId43" Type="http://schemas.openxmlformats.org/officeDocument/2006/relationships/hyperlink" Target="https://www.digikey.com/en/products/detail/stmicroelectronics/LDO40LPU50RY/12179087" TargetMode="External"/><Relationship Id="rId46" Type="http://schemas.openxmlformats.org/officeDocument/2006/relationships/hyperlink" Target="https://www.digikey.com/en/products/detail/syntiant/SPG08P4HM4H-1/10130506" TargetMode="External"/><Relationship Id="rId45" Type="http://schemas.openxmlformats.org/officeDocument/2006/relationships/hyperlink" Target="https://www.digikey.com/en/products/detail/yageo/RC0603FR-0725K5L/727088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digikey.com/en/products/detail/molex/0022032021/26623" TargetMode="External"/><Relationship Id="rId9" Type="http://schemas.openxmlformats.org/officeDocument/2006/relationships/hyperlink" Target="https://www.digikey.com/en/products/detail/samsung-electro-mechanics/CL10B105KP8NNNC/3887604" TargetMode="External"/><Relationship Id="rId48" Type="http://schemas.openxmlformats.org/officeDocument/2006/relationships/hyperlink" Target="https://www.mouser.com/ProductDetail/Ultralife/UBBP01?qs=bAKSY%2FctAC6uajF7UoG97A%3D%3D" TargetMode="External"/><Relationship Id="rId47" Type="http://schemas.openxmlformats.org/officeDocument/2006/relationships/hyperlink" Target="https://www.digikey.com/en/products/detail/diodes-incorporated/DFLS230LH-7/776777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yageo/RC0603JR-070RL/726675" TargetMode="External"/><Relationship Id="rId6" Type="http://schemas.openxmlformats.org/officeDocument/2006/relationships/hyperlink" Target="https://www.digikey.com/en/products/detail/murata-electronics/LQG15WZ3N2C02D/11690025" TargetMode="External"/><Relationship Id="rId7" Type="http://schemas.openxmlformats.org/officeDocument/2006/relationships/hyperlink" Target="https://www.digikey.com/en/products/detail/murata-electronics/LQM18PN3R3MFRL/4359185" TargetMode="External"/><Relationship Id="rId8" Type="http://schemas.openxmlformats.org/officeDocument/2006/relationships/hyperlink" Target="https://www.digikey.com/en/products/detail/samsung-electro-mechanics/CL10B104JB8NNNC/3886691" TargetMode="External"/><Relationship Id="rId31" Type="http://schemas.openxmlformats.org/officeDocument/2006/relationships/hyperlink" Target="https://www.digikey.com/en/products/detail/jst-sales-america-inc/B2B-PH-K-S/926611" TargetMode="External"/><Relationship Id="rId30" Type="http://schemas.openxmlformats.org/officeDocument/2006/relationships/hyperlink" Target="https://www.digikey.com/en/products/detail/kyocera-avx/600S180FT250XT4K/3905199" TargetMode="External"/><Relationship Id="rId33" Type="http://schemas.openxmlformats.org/officeDocument/2006/relationships/hyperlink" Target="https://www.digikey.com/en/products/detail/vishay-dale/TNPW0603250RBEEN/21556505" TargetMode="External"/><Relationship Id="rId32" Type="http://schemas.openxmlformats.org/officeDocument/2006/relationships/hyperlink" Target="https://www.digikey.com/en/products/detail/yageo/RC0603JR-07160RL/726718" TargetMode="External"/><Relationship Id="rId35" Type="http://schemas.openxmlformats.org/officeDocument/2006/relationships/hyperlink" Target="https://www.digikey.com/en/products/detail/stackpole-electronics-inc/RNCF0603BTE2K50/6262233" TargetMode="External"/><Relationship Id="rId34" Type="http://schemas.openxmlformats.org/officeDocument/2006/relationships/hyperlink" Target="https://www.digikey.com/en/products/detail/tdk/CGA3E3X7R1H334K080AB/4931465" TargetMode="External"/><Relationship Id="rId37" Type="http://schemas.openxmlformats.org/officeDocument/2006/relationships/hyperlink" Target="https://www.digikey.com/en/products/detail/vishay-dale/IHLP2525CZER6R8M01/1220676" TargetMode="External"/><Relationship Id="rId36" Type="http://schemas.openxmlformats.org/officeDocument/2006/relationships/hyperlink" Target="https://www.digikey.com/en/products/detail/murata-electronics/GRM21BR60G107ME11L/6155750" TargetMode="External"/><Relationship Id="rId39" Type="http://schemas.openxmlformats.org/officeDocument/2006/relationships/hyperlink" Target="https://www.digikey.com/en/products/detail/bourns-inc/CR0603-FX-4871ELF/3784054" TargetMode="External"/><Relationship Id="rId38" Type="http://schemas.openxmlformats.org/officeDocument/2006/relationships/hyperlink" Target="https://www.digikey.com/en/products/detail/toshiba-semiconductor-and-storage/CMS01-TE12L-Q-M/871529" TargetMode="External"/><Relationship Id="rId20" Type="http://schemas.openxmlformats.org/officeDocument/2006/relationships/hyperlink" Target="https://www.digikey.com/en/products/detail/c-k/OS102011MS2QN1/411602" TargetMode="External"/><Relationship Id="rId22" Type="http://schemas.openxmlformats.org/officeDocument/2006/relationships/hyperlink" Target="https://www.digikey.com/en/products/detail/yageo/CC0603KRX7R9BB271/372858" TargetMode="External"/><Relationship Id="rId21" Type="http://schemas.openxmlformats.org/officeDocument/2006/relationships/hyperlink" Target="https://www.digikey.com/en/products/detail/yageo/RC0603JR-07330RL/726769" TargetMode="External"/><Relationship Id="rId24" Type="http://schemas.openxmlformats.org/officeDocument/2006/relationships/hyperlink" Target="https://www.digikey.com/en/products/detail/kyocera-avx/600S2R2AT250XT4K/3905215" TargetMode="External"/><Relationship Id="rId23" Type="http://schemas.openxmlformats.org/officeDocument/2006/relationships/hyperlink" Target="https://www.digikey.com/en/products/detail/kemet/CBR06C129B5GAC/3473716" TargetMode="External"/><Relationship Id="rId26" Type="http://schemas.openxmlformats.org/officeDocument/2006/relationships/hyperlink" Target="https://www.digikey.com/en/products/detail/texas-instruments/LM48511SQX-NOPB/1871670" TargetMode="External"/><Relationship Id="rId25" Type="http://schemas.openxmlformats.org/officeDocument/2006/relationships/hyperlink" Target="https://www.digikey.com/en/products/detail/yageo/RC0603FR-079K31L/727420" TargetMode="External"/><Relationship Id="rId28" Type="http://schemas.openxmlformats.org/officeDocument/2006/relationships/hyperlink" Target="https://www.digikey.com/en/products/detail/samtec-inc/SMA-J-P-H-ST-TH1/2345104" TargetMode="External"/><Relationship Id="rId27" Type="http://schemas.openxmlformats.org/officeDocument/2006/relationships/hyperlink" Target="https://www.digikey.com/en/products/detail/stmicroelectronics/LDO40LPU33RY/9687065" TargetMode="External"/><Relationship Id="rId29" Type="http://schemas.openxmlformats.org/officeDocument/2006/relationships/hyperlink" Target="https://www.digikey.com/en/products/detail/sullins-connector-solutions/GRPB052VWQS-RC/1786414" TargetMode="External"/><Relationship Id="rId50" Type="http://schemas.openxmlformats.org/officeDocument/2006/relationships/vmlDrawing" Target="../drawings/vmlDrawing1.vml"/><Relationship Id="rId52" Type="http://schemas.openxmlformats.org/officeDocument/2006/relationships/table" Target="../tables/table1.xml"/><Relationship Id="rId11" Type="http://schemas.openxmlformats.org/officeDocument/2006/relationships/hyperlink" Target="https://www.digikey.com/en/products/detail/molex/0022032041/26627" TargetMode="External"/><Relationship Id="rId10" Type="http://schemas.openxmlformats.org/officeDocument/2006/relationships/hyperlink" Target="https://www.digikey.com/en/products/detail/txc-corporation/8Q-32-000MEEV-T/3597960?gclsrc=aw.ds&amp;gad_source=1&amp;gad_campaignid=120565755&amp;gbraid=0AAAAADrbLlhlG1EOCP08UqA4TINzrsDxW&amp;gclid=Cj0KCQjw9-PNBhDfARIsABHN6-2ZRpSH1yDRn3JYQo4GaMVzPuDL0nryUywIN0hfMyg9W40QydYRbkgaAo9dEALw_wcB" TargetMode="External"/><Relationship Id="rId13" Type="http://schemas.openxmlformats.org/officeDocument/2006/relationships/hyperlink" Target="https://www.digikey.com/en/products/detail/texas-instruments/BQ29209DRBR/2350205" TargetMode="External"/><Relationship Id="rId12" Type="http://schemas.openxmlformats.org/officeDocument/2006/relationships/hyperlink" Target="https://www.digikey.com/en/products/detail/kyocera-avx/600S1R8BT250XT4K/3905022" TargetMode="External"/><Relationship Id="rId15" Type="http://schemas.openxmlformats.org/officeDocument/2006/relationships/hyperlink" Target="https://www.digikey.com/en/products/detail/vishay-dale/CRCW08051R00FKEAHP/2222318" TargetMode="External"/><Relationship Id="rId14" Type="http://schemas.openxmlformats.org/officeDocument/2006/relationships/hyperlink" Target="https://www.digikey.com/en/products/detail/yageo/RC0603FR-07100RL/726888" TargetMode="External"/><Relationship Id="rId17" Type="http://schemas.openxmlformats.org/officeDocument/2006/relationships/hyperlink" Target="https://www.digikey.com/en/products/detail/yageo/CC0402KRX5R6BB184/11489798" TargetMode="External"/><Relationship Id="rId16" Type="http://schemas.openxmlformats.org/officeDocument/2006/relationships/hyperlink" Target="https://www.digikey.com/en/products/detail/samsung-electro-mechanics/CL10A106KP8NNNC/3886850" TargetMode="External"/><Relationship Id="rId19" Type="http://schemas.openxmlformats.org/officeDocument/2006/relationships/hyperlink" Target="https://www.digikey.com/en/products/detail/texas-instruments/DAC6551AQDGKRQ1/6600067" TargetMode="External"/><Relationship Id="rId18" Type="http://schemas.openxmlformats.org/officeDocument/2006/relationships/hyperlink" Target="https://www.digikey.com/en/products/detail/stackpole-electronics-inc/RMCF0603FT1K00/1761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34.5"/>
    <col customWidth="1" min="3" max="3" width="40.63"/>
    <col customWidth="1" min="4" max="4" width="14.88"/>
    <col customWidth="1" min="5" max="5" width="17.88"/>
    <col customWidth="1" min="6" max="6" width="21.0"/>
    <col customWidth="1" min="7" max="7" width="14.13"/>
    <col customWidth="1" min="8" max="8" width="18.88"/>
    <col customWidth="1" min="9" max="9" width="15.0"/>
    <col customWidth="1" min="10" max="10" width="12.5"/>
    <col customWidth="1" min="11" max="11" width="28.75"/>
    <col customWidth="1" min="12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12.75" customHeight="1">
      <c r="A2" s="3">
        <v>1.0</v>
      </c>
      <c r="B2" s="4" t="s">
        <v>12</v>
      </c>
      <c r="C2" s="4" t="s">
        <v>13</v>
      </c>
      <c r="D2" s="3">
        <v>12.0</v>
      </c>
      <c r="E2" s="5">
        <f t="shared" ref="E2:E54" si="1">D2*5</f>
        <v>60</v>
      </c>
      <c r="F2" s="4">
        <v>2.2032021E7</v>
      </c>
      <c r="G2" s="6" t="s">
        <v>14</v>
      </c>
      <c r="H2" s="7">
        <v>6.0</v>
      </c>
      <c r="I2" s="3">
        <f t="shared" ref="I2:I5" si="2">D2*5-H2</f>
        <v>54</v>
      </c>
      <c r="J2" s="8">
        <v>0.18</v>
      </c>
      <c r="K2" s="9">
        <f t="shared" ref="K2:K5" si="3">J2*I2</f>
        <v>9.72</v>
      </c>
    </row>
    <row r="3" ht="12.75" customHeight="1">
      <c r="A3" s="3">
        <v>2.0</v>
      </c>
      <c r="B3" s="4" t="s">
        <v>15</v>
      </c>
      <c r="C3" s="4" t="s">
        <v>16</v>
      </c>
      <c r="D3" s="3">
        <v>10.0</v>
      </c>
      <c r="E3" s="5">
        <f t="shared" si="1"/>
        <v>50</v>
      </c>
      <c r="F3" s="4" t="s">
        <v>17</v>
      </c>
      <c r="G3" s="6" t="s">
        <v>14</v>
      </c>
      <c r="H3" s="7">
        <v>26.0</v>
      </c>
      <c r="I3" s="3">
        <f t="shared" si="2"/>
        <v>24</v>
      </c>
      <c r="J3" s="8">
        <v>0.1</v>
      </c>
      <c r="K3" s="9">
        <f t="shared" si="3"/>
        <v>2.4</v>
      </c>
    </row>
    <row r="4" ht="12.75" customHeight="1">
      <c r="A4" s="3">
        <v>3.0</v>
      </c>
      <c r="B4" s="4" t="s">
        <v>18</v>
      </c>
      <c r="C4" s="4" t="s">
        <v>19</v>
      </c>
      <c r="D4" s="3">
        <v>2.0</v>
      </c>
      <c r="E4" s="10">
        <f t="shared" si="1"/>
        <v>10</v>
      </c>
      <c r="F4" s="7" t="s">
        <v>20</v>
      </c>
      <c r="G4" s="6" t="s">
        <v>14</v>
      </c>
      <c r="H4" s="7">
        <v>0.0</v>
      </c>
      <c r="I4" s="3">
        <f t="shared" si="2"/>
        <v>10</v>
      </c>
      <c r="J4" s="8">
        <v>0.1</v>
      </c>
      <c r="K4" s="9">
        <f t="shared" si="3"/>
        <v>1</v>
      </c>
    </row>
    <row r="5" ht="12.75" customHeight="1">
      <c r="A5" s="3">
        <v>4.0</v>
      </c>
      <c r="B5" s="4" t="s">
        <v>21</v>
      </c>
      <c r="C5" s="4" t="s">
        <v>22</v>
      </c>
      <c r="D5" s="3">
        <v>1.0</v>
      </c>
      <c r="E5" s="11">
        <f t="shared" si="1"/>
        <v>5</v>
      </c>
      <c r="F5" s="4" t="s">
        <v>23</v>
      </c>
      <c r="G5" s="6" t="s">
        <v>14</v>
      </c>
      <c r="H5" s="7">
        <v>0.0</v>
      </c>
      <c r="I5" s="3">
        <f t="shared" si="2"/>
        <v>5</v>
      </c>
      <c r="J5" s="8">
        <v>0.17</v>
      </c>
      <c r="K5" s="9">
        <f t="shared" si="3"/>
        <v>0.85</v>
      </c>
      <c r="L5" s="7" t="s">
        <v>24</v>
      </c>
    </row>
    <row r="6" ht="12.75" customHeight="1">
      <c r="A6" s="3">
        <v>5.0</v>
      </c>
      <c r="B6" s="4" t="s">
        <v>25</v>
      </c>
      <c r="C6" s="4" t="s">
        <v>26</v>
      </c>
      <c r="D6" s="3">
        <v>4.0</v>
      </c>
      <c r="E6" s="4">
        <f t="shared" si="1"/>
        <v>20</v>
      </c>
      <c r="F6" s="4" t="s">
        <v>27</v>
      </c>
      <c r="G6" s="7" t="s">
        <v>28</v>
      </c>
      <c r="H6" s="7" t="s">
        <v>29</v>
      </c>
      <c r="I6" s="12" t="s">
        <v>29</v>
      </c>
      <c r="J6" s="7" t="s">
        <v>29</v>
      </c>
      <c r="K6" s="7" t="s">
        <v>29</v>
      </c>
    </row>
    <row r="7" ht="12.75" customHeight="1">
      <c r="A7" s="3">
        <v>6.0</v>
      </c>
      <c r="B7" s="4" t="s">
        <v>30</v>
      </c>
      <c r="C7" s="4" t="s">
        <v>16</v>
      </c>
      <c r="D7" s="3">
        <v>3.0</v>
      </c>
      <c r="E7" s="4">
        <f t="shared" si="1"/>
        <v>15</v>
      </c>
      <c r="F7" s="4" t="s">
        <v>31</v>
      </c>
      <c r="G7" s="7" t="s">
        <v>29</v>
      </c>
      <c r="H7" s="7" t="s">
        <v>29</v>
      </c>
      <c r="I7" s="12" t="s">
        <v>29</v>
      </c>
      <c r="J7" s="7" t="s">
        <v>29</v>
      </c>
      <c r="K7" s="7" t="s">
        <v>29</v>
      </c>
    </row>
    <row r="8" ht="12.75" customHeight="1">
      <c r="A8" s="3">
        <v>7.0</v>
      </c>
      <c r="B8" s="4" t="s">
        <v>32</v>
      </c>
      <c r="C8" s="4" t="s">
        <v>33</v>
      </c>
      <c r="D8" s="3">
        <v>10.0</v>
      </c>
      <c r="E8" s="5">
        <f t="shared" si="1"/>
        <v>50</v>
      </c>
      <c r="F8" s="4" t="s">
        <v>34</v>
      </c>
      <c r="G8" s="6" t="s">
        <v>14</v>
      </c>
      <c r="H8" s="7">
        <v>20.0</v>
      </c>
      <c r="I8" s="3">
        <f t="shared" ref="I8:I13" si="4">D8*5-H8</f>
        <v>30</v>
      </c>
      <c r="J8" s="8">
        <v>0.1</v>
      </c>
      <c r="K8" s="9">
        <f t="shared" ref="K8:K13" si="5">J8*I8</f>
        <v>3</v>
      </c>
      <c r="L8" s="7" t="s">
        <v>35</v>
      </c>
    </row>
    <row r="9" ht="12.75" customHeight="1">
      <c r="A9" s="3">
        <v>8.0</v>
      </c>
      <c r="B9" s="4" t="s">
        <v>36</v>
      </c>
      <c r="C9" s="4" t="s">
        <v>33</v>
      </c>
      <c r="D9" s="3">
        <v>10.0</v>
      </c>
      <c r="E9" s="5">
        <f t="shared" si="1"/>
        <v>50</v>
      </c>
      <c r="F9" s="4" t="s">
        <v>37</v>
      </c>
      <c r="G9" s="6" t="s">
        <v>14</v>
      </c>
      <c r="H9" s="7">
        <v>20.0</v>
      </c>
      <c r="I9" s="3">
        <f t="shared" si="4"/>
        <v>30</v>
      </c>
      <c r="J9" s="8">
        <v>0.1</v>
      </c>
      <c r="K9" s="9">
        <f t="shared" si="5"/>
        <v>3</v>
      </c>
      <c r="L9" s="7" t="s">
        <v>38</v>
      </c>
    </row>
    <row r="10" ht="12.75" customHeight="1">
      <c r="A10" s="3">
        <v>9.0</v>
      </c>
      <c r="B10" s="4" t="s">
        <v>39</v>
      </c>
      <c r="C10" s="4" t="s">
        <v>40</v>
      </c>
      <c r="D10" s="3">
        <v>1.0</v>
      </c>
      <c r="E10" s="5">
        <f t="shared" si="1"/>
        <v>5</v>
      </c>
      <c r="F10" s="4" t="s">
        <v>41</v>
      </c>
      <c r="G10" s="6" t="s">
        <v>14</v>
      </c>
      <c r="H10" s="7">
        <v>0.0</v>
      </c>
      <c r="I10" s="3">
        <f t="shared" si="4"/>
        <v>5</v>
      </c>
      <c r="J10" s="8">
        <v>0.89</v>
      </c>
      <c r="K10" s="9">
        <f t="shared" si="5"/>
        <v>4.45</v>
      </c>
      <c r="L10" s="7" t="s">
        <v>42</v>
      </c>
    </row>
    <row r="11" ht="12.75" customHeight="1">
      <c r="A11" s="3">
        <v>10.0</v>
      </c>
      <c r="B11" s="4" t="s">
        <v>43</v>
      </c>
      <c r="C11" s="4" t="s">
        <v>44</v>
      </c>
      <c r="D11" s="3">
        <v>2.0</v>
      </c>
      <c r="E11" s="4">
        <f t="shared" si="1"/>
        <v>10</v>
      </c>
      <c r="F11" s="4">
        <v>2.2032041E7</v>
      </c>
      <c r="G11" s="6" t="s">
        <v>14</v>
      </c>
      <c r="H11" s="7">
        <v>0.0</v>
      </c>
      <c r="I11" s="3">
        <f t="shared" si="4"/>
        <v>10</v>
      </c>
      <c r="J11" s="8">
        <v>0.34</v>
      </c>
      <c r="K11" s="9">
        <f t="shared" si="5"/>
        <v>3.4</v>
      </c>
    </row>
    <row r="12" ht="12.75" customHeight="1">
      <c r="A12" s="3">
        <v>11.0</v>
      </c>
      <c r="B12" s="4" t="s">
        <v>45</v>
      </c>
      <c r="C12" s="4" t="s">
        <v>33</v>
      </c>
      <c r="D12" s="3">
        <v>2.0</v>
      </c>
      <c r="E12" s="5">
        <f t="shared" si="1"/>
        <v>10</v>
      </c>
      <c r="F12" s="4" t="s">
        <v>46</v>
      </c>
      <c r="G12" s="6" t="s">
        <v>14</v>
      </c>
      <c r="H12" s="7">
        <v>5.0</v>
      </c>
      <c r="I12" s="3">
        <f t="shared" si="4"/>
        <v>5</v>
      </c>
      <c r="J12" s="8">
        <v>1.44</v>
      </c>
      <c r="K12" s="9">
        <f t="shared" si="5"/>
        <v>7.2</v>
      </c>
      <c r="L12" s="7" t="s">
        <v>47</v>
      </c>
    </row>
    <row r="13" ht="12.75" customHeight="1">
      <c r="A13" s="3">
        <v>12.0</v>
      </c>
      <c r="B13" s="4" t="s">
        <v>48</v>
      </c>
      <c r="C13" s="4" t="s">
        <v>49</v>
      </c>
      <c r="D13" s="3">
        <v>1.0</v>
      </c>
      <c r="E13" s="4">
        <f t="shared" si="1"/>
        <v>5</v>
      </c>
      <c r="F13" s="4" t="s">
        <v>50</v>
      </c>
      <c r="G13" s="6" t="s">
        <v>14</v>
      </c>
      <c r="H13" s="7">
        <v>-5.0</v>
      </c>
      <c r="I13" s="3">
        <f t="shared" si="4"/>
        <v>10</v>
      </c>
      <c r="J13" s="8">
        <v>0.96</v>
      </c>
      <c r="K13" s="9">
        <f t="shared" si="5"/>
        <v>9.6</v>
      </c>
      <c r="L13" s="7" t="s">
        <v>51</v>
      </c>
    </row>
    <row r="14" ht="12.75" customHeight="1">
      <c r="A14" s="3">
        <v>13.0</v>
      </c>
      <c r="B14" s="4" t="s">
        <v>52</v>
      </c>
      <c r="C14" s="4" t="s">
        <v>33</v>
      </c>
      <c r="D14" s="3">
        <v>6.0</v>
      </c>
      <c r="E14" s="4">
        <f t="shared" si="1"/>
        <v>30</v>
      </c>
      <c r="F14" s="4" t="s">
        <v>31</v>
      </c>
      <c r="G14" s="7" t="s">
        <v>29</v>
      </c>
      <c r="H14" s="7" t="s">
        <v>29</v>
      </c>
      <c r="I14" s="12" t="s">
        <v>29</v>
      </c>
      <c r="J14" s="7" t="s">
        <v>29</v>
      </c>
      <c r="K14" s="7" t="s">
        <v>29</v>
      </c>
    </row>
    <row r="15" ht="12.75" customHeight="1">
      <c r="A15" s="3">
        <v>14.0</v>
      </c>
      <c r="B15" s="4" t="s">
        <v>53</v>
      </c>
      <c r="C15" s="4" t="s">
        <v>16</v>
      </c>
      <c r="D15" s="3">
        <v>1.0</v>
      </c>
      <c r="E15" s="5">
        <f t="shared" si="1"/>
        <v>5</v>
      </c>
      <c r="F15" s="4" t="s">
        <v>54</v>
      </c>
      <c r="G15" s="6" t="s">
        <v>14</v>
      </c>
      <c r="H15" s="7">
        <v>-5.0</v>
      </c>
      <c r="I15" s="3">
        <f t="shared" ref="I15:I24" si="6">D15*5-H15</f>
        <v>10</v>
      </c>
      <c r="J15" s="8">
        <v>0.1</v>
      </c>
      <c r="K15" s="9">
        <f t="shared" ref="K15:K24" si="7">J15*I15</f>
        <v>1</v>
      </c>
      <c r="L15" s="7" t="s">
        <v>51</v>
      </c>
    </row>
    <row r="16" ht="12.75" customHeight="1">
      <c r="A16" s="3">
        <v>15.0</v>
      </c>
      <c r="B16" s="4" t="s">
        <v>55</v>
      </c>
      <c r="C16" s="4" t="s">
        <v>56</v>
      </c>
      <c r="D16" s="3">
        <v>1.0</v>
      </c>
      <c r="E16" s="5">
        <f t="shared" si="1"/>
        <v>5</v>
      </c>
      <c r="F16" s="4" t="s">
        <v>57</v>
      </c>
      <c r="G16" s="6" t="s">
        <v>14</v>
      </c>
      <c r="H16" s="7">
        <v>0.0</v>
      </c>
      <c r="I16" s="3">
        <f t="shared" si="6"/>
        <v>5</v>
      </c>
      <c r="J16" s="8">
        <v>0.24</v>
      </c>
      <c r="K16" s="9">
        <f t="shared" si="7"/>
        <v>1.2</v>
      </c>
      <c r="L16" s="7" t="s">
        <v>58</v>
      </c>
    </row>
    <row r="17" ht="12.75" customHeight="1">
      <c r="A17" s="3">
        <v>16.0</v>
      </c>
      <c r="B17" s="4" t="s">
        <v>59</v>
      </c>
      <c r="C17" s="4" t="s">
        <v>33</v>
      </c>
      <c r="D17" s="3">
        <v>3.0</v>
      </c>
      <c r="E17" s="5">
        <f t="shared" si="1"/>
        <v>15</v>
      </c>
      <c r="F17" s="4" t="s">
        <v>60</v>
      </c>
      <c r="G17" s="6" t="s">
        <v>14</v>
      </c>
      <c r="H17" s="7">
        <v>5.0</v>
      </c>
      <c r="I17" s="3">
        <f t="shared" si="6"/>
        <v>10</v>
      </c>
      <c r="J17" s="8">
        <v>0.18</v>
      </c>
      <c r="K17" s="9">
        <f t="shared" si="7"/>
        <v>1.8</v>
      </c>
      <c r="L17" s="7" t="s">
        <v>61</v>
      </c>
    </row>
    <row r="18" ht="12.75" customHeight="1">
      <c r="A18" s="3">
        <v>17.0</v>
      </c>
      <c r="B18" s="4" t="s">
        <v>62</v>
      </c>
      <c r="C18" s="4" t="s">
        <v>63</v>
      </c>
      <c r="D18" s="3">
        <v>1.0</v>
      </c>
      <c r="E18" s="5">
        <f t="shared" si="1"/>
        <v>5</v>
      </c>
      <c r="F18" s="4" t="s">
        <v>64</v>
      </c>
      <c r="G18" s="6" t="s">
        <v>14</v>
      </c>
      <c r="H18" s="7">
        <v>0.0</v>
      </c>
      <c r="I18" s="3">
        <f t="shared" si="6"/>
        <v>5</v>
      </c>
      <c r="J18" s="8">
        <v>0.11</v>
      </c>
      <c r="K18" s="9">
        <f t="shared" si="7"/>
        <v>0.55</v>
      </c>
      <c r="L18" s="7" t="s">
        <v>65</v>
      </c>
    </row>
    <row r="19" ht="12.75" customHeight="1">
      <c r="A19" s="3">
        <v>18.0</v>
      </c>
      <c r="B19" s="4" t="s">
        <v>66</v>
      </c>
      <c r="C19" s="4" t="s">
        <v>16</v>
      </c>
      <c r="D19" s="3">
        <v>1.0</v>
      </c>
      <c r="E19" s="5">
        <f t="shared" si="1"/>
        <v>5</v>
      </c>
      <c r="F19" s="4" t="s">
        <v>67</v>
      </c>
      <c r="G19" s="13" t="s">
        <v>14</v>
      </c>
      <c r="H19" s="7">
        <v>-5.0</v>
      </c>
      <c r="I19" s="3">
        <f t="shared" si="6"/>
        <v>10</v>
      </c>
      <c r="J19" s="8">
        <v>0.1</v>
      </c>
      <c r="K19" s="9">
        <f t="shared" si="7"/>
        <v>1</v>
      </c>
      <c r="L19" s="7" t="s">
        <v>51</v>
      </c>
    </row>
    <row r="20" ht="12.75" customHeight="1">
      <c r="A20" s="3">
        <v>19.0</v>
      </c>
      <c r="B20" s="4" t="s">
        <v>68</v>
      </c>
      <c r="C20" s="4" t="s">
        <v>69</v>
      </c>
      <c r="D20" s="3">
        <v>1.0</v>
      </c>
      <c r="E20" s="5">
        <f t="shared" si="1"/>
        <v>5</v>
      </c>
      <c r="F20" s="4" t="s">
        <v>70</v>
      </c>
      <c r="G20" s="6" t="s">
        <v>14</v>
      </c>
      <c r="H20" s="7">
        <v>0.0</v>
      </c>
      <c r="I20" s="3">
        <f t="shared" si="6"/>
        <v>5</v>
      </c>
      <c r="J20" s="8">
        <v>4.43</v>
      </c>
      <c r="K20" s="9">
        <f t="shared" si="7"/>
        <v>22.15</v>
      </c>
      <c r="L20" s="7" t="s">
        <v>71</v>
      </c>
    </row>
    <row r="21" ht="12.75" customHeight="1">
      <c r="A21" s="3">
        <v>20.0</v>
      </c>
      <c r="B21" s="4" t="s">
        <v>72</v>
      </c>
      <c r="C21" s="4" t="s">
        <v>73</v>
      </c>
      <c r="D21" s="3">
        <v>6.0</v>
      </c>
      <c r="E21" s="5">
        <f t="shared" si="1"/>
        <v>30</v>
      </c>
      <c r="F21" s="4" t="s">
        <v>74</v>
      </c>
      <c r="G21" s="6" t="s">
        <v>14</v>
      </c>
      <c r="H21" s="7">
        <v>15.0</v>
      </c>
      <c r="I21" s="3">
        <f t="shared" si="6"/>
        <v>15</v>
      </c>
      <c r="J21" s="8">
        <v>0.73</v>
      </c>
      <c r="K21" s="9">
        <f t="shared" si="7"/>
        <v>10.95</v>
      </c>
      <c r="L21" s="7" t="s">
        <v>75</v>
      </c>
    </row>
    <row r="22" ht="12.75" customHeight="1">
      <c r="A22" s="3">
        <v>21.0</v>
      </c>
      <c r="B22" s="4" t="s">
        <v>76</v>
      </c>
      <c r="C22" s="4" t="s">
        <v>16</v>
      </c>
      <c r="D22" s="3">
        <v>1.0</v>
      </c>
      <c r="E22" s="14">
        <f t="shared" si="1"/>
        <v>5</v>
      </c>
      <c r="F22" s="4" t="s">
        <v>77</v>
      </c>
      <c r="G22" s="6" t="s">
        <v>14</v>
      </c>
      <c r="H22" s="7">
        <v>-5.0</v>
      </c>
      <c r="I22" s="3">
        <f t="shared" si="6"/>
        <v>10</v>
      </c>
      <c r="J22" s="8">
        <v>0.1</v>
      </c>
      <c r="K22" s="9">
        <f t="shared" si="7"/>
        <v>1</v>
      </c>
      <c r="L22" s="7" t="s">
        <v>51</v>
      </c>
    </row>
    <row r="23" ht="12.75" customHeight="1">
      <c r="A23" s="3">
        <v>22.0</v>
      </c>
      <c r="B23" s="4" t="s">
        <v>78</v>
      </c>
      <c r="C23" s="4" t="s">
        <v>79</v>
      </c>
      <c r="D23" s="3">
        <v>1.0</v>
      </c>
      <c r="E23" s="14">
        <f t="shared" si="1"/>
        <v>5</v>
      </c>
      <c r="F23" s="4" t="s">
        <v>80</v>
      </c>
      <c r="G23" s="6" t="s">
        <v>14</v>
      </c>
      <c r="H23" s="7">
        <v>0.0</v>
      </c>
      <c r="I23" s="3">
        <f t="shared" si="6"/>
        <v>5</v>
      </c>
      <c r="J23" s="8">
        <v>0.1</v>
      </c>
      <c r="K23" s="9">
        <f t="shared" si="7"/>
        <v>0.5</v>
      </c>
      <c r="L23" s="7" t="s">
        <v>65</v>
      </c>
    </row>
    <row r="24" ht="12.75" customHeight="1">
      <c r="A24" s="3">
        <v>23.0</v>
      </c>
      <c r="B24" s="4" t="s">
        <v>81</v>
      </c>
      <c r="C24" s="4" t="s">
        <v>82</v>
      </c>
      <c r="D24" s="3">
        <v>2.0</v>
      </c>
      <c r="E24" s="5">
        <f t="shared" si="1"/>
        <v>10</v>
      </c>
      <c r="F24" s="4" t="s">
        <v>83</v>
      </c>
      <c r="G24" s="6" t="s">
        <v>14</v>
      </c>
      <c r="H24" s="7">
        <v>-10.0</v>
      </c>
      <c r="I24" s="3">
        <f t="shared" si="6"/>
        <v>20</v>
      </c>
      <c r="J24" s="8">
        <v>0.21</v>
      </c>
      <c r="K24" s="9">
        <f t="shared" si="7"/>
        <v>4.2</v>
      </c>
      <c r="L24" s="7" t="s">
        <v>51</v>
      </c>
    </row>
    <row r="25" ht="12.75" customHeight="1">
      <c r="A25" s="3">
        <v>24.0</v>
      </c>
      <c r="B25" s="4" t="s">
        <v>84</v>
      </c>
      <c r="C25" s="4" t="s">
        <v>85</v>
      </c>
      <c r="D25" s="3">
        <v>1.0</v>
      </c>
      <c r="E25" s="4">
        <f t="shared" si="1"/>
        <v>5</v>
      </c>
      <c r="F25" s="4" t="s">
        <v>27</v>
      </c>
      <c r="G25" s="7" t="s">
        <v>29</v>
      </c>
      <c r="H25" s="7" t="s">
        <v>29</v>
      </c>
      <c r="I25" s="12" t="s">
        <v>29</v>
      </c>
      <c r="J25" s="7" t="s">
        <v>29</v>
      </c>
      <c r="K25" s="7" t="s">
        <v>29</v>
      </c>
    </row>
    <row r="26" ht="12.75" customHeight="1">
      <c r="A26" s="3">
        <v>25.0</v>
      </c>
      <c r="B26" s="4" t="s">
        <v>86</v>
      </c>
      <c r="C26" s="4" t="s">
        <v>33</v>
      </c>
      <c r="D26" s="3">
        <v>2.0</v>
      </c>
      <c r="E26" s="14">
        <f t="shared" si="1"/>
        <v>10</v>
      </c>
      <c r="F26" s="4" t="s">
        <v>87</v>
      </c>
      <c r="G26" s="6" t="s">
        <v>14</v>
      </c>
      <c r="H26" s="7">
        <v>5.0</v>
      </c>
      <c r="I26" s="3">
        <f t="shared" ref="I26:I38" si="8">D26*5-H26</f>
        <v>5</v>
      </c>
      <c r="J26" s="8">
        <v>2.04</v>
      </c>
      <c r="K26" s="9">
        <f t="shared" ref="K26:K37" si="9">J26*I26</f>
        <v>10.2</v>
      </c>
      <c r="L26" s="7" t="s">
        <v>88</v>
      </c>
    </row>
    <row r="27" ht="12.75" customHeight="1">
      <c r="A27" s="3">
        <v>26.0</v>
      </c>
      <c r="B27" s="4" t="s">
        <v>89</v>
      </c>
      <c r="C27" s="4" t="s">
        <v>90</v>
      </c>
      <c r="D27" s="3">
        <v>1.0</v>
      </c>
      <c r="E27" s="5">
        <f t="shared" si="1"/>
        <v>5</v>
      </c>
      <c r="F27" s="4" t="s">
        <v>91</v>
      </c>
      <c r="G27" s="6" t="s">
        <v>14</v>
      </c>
      <c r="H27" s="7">
        <v>0.0</v>
      </c>
      <c r="I27" s="3">
        <f t="shared" si="8"/>
        <v>5</v>
      </c>
      <c r="J27" s="8">
        <v>0.1</v>
      </c>
      <c r="K27" s="9">
        <f t="shared" si="9"/>
        <v>0.5</v>
      </c>
      <c r="L27" s="7" t="s">
        <v>71</v>
      </c>
    </row>
    <row r="28" ht="12.75" customHeight="1">
      <c r="A28" s="3">
        <v>27.0</v>
      </c>
      <c r="B28" s="4" t="s">
        <v>92</v>
      </c>
      <c r="C28" s="4" t="s">
        <v>93</v>
      </c>
      <c r="D28" s="3">
        <v>1.0</v>
      </c>
      <c r="E28" s="5">
        <f t="shared" si="1"/>
        <v>5</v>
      </c>
      <c r="F28" s="4" t="s">
        <v>94</v>
      </c>
      <c r="G28" s="6" t="s">
        <v>14</v>
      </c>
      <c r="H28" s="7">
        <v>5.0</v>
      </c>
      <c r="I28" s="3">
        <f t="shared" si="8"/>
        <v>0</v>
      </c>
      <c r="J28" s="8">
        <v>2.12</v>
      </c>
      <c r="K28" s="9">
        <f t="shared" si="9"/>
        <v>0</v>
      </c>
      <c r="L28" s="7" t="s">
        <v>95</v>
      </c>
    </row>
    <row r="29" ht="12.75" customHeight="1">
      <c r="A29" s="3">
        <v>28.0</v>
      </c>
      <c r="B29" s="4" t="s">
        <v>96</v>
      </c>
      <c r="C29" s="4" t="s">
        <v>16</v>
      </c>
      <c r="D29" s="3">
        <v>1.0</v>
      </c>
      <c r="E29" s="15">
        <f t="shared" si="1"/>
        <v>5</v>
      </c>
      <c r="F29" s="7" t="s">
        <v>97</v>
      </c>
      <c r="G29" s="7" t="s">
        <v>14</v>
      </c>
      <c r="H29" s="7">
        <v>-5.0</v>
      </c>
      <c r="I29" s="3">
        <f t="shared" si="8"/>
        <v>10</v>
      </c>
      <c r="J29" s="8">
        <v>0.1</v>
      </c>
      <c r="K29" s="9">
        <f t="shared" si="9"/>
        <v>1</v>
      </c>
      <c r="L29" s="7" t="s">
        <v>51</v>
      </c>
    </row>
    <row r="30" ht="12.75" customHeight="1">
      <c r="A30" s="3">
        <v>29.0</v>
      </c>
      <c r="B30" s="4" t="s">
        <v>98</v>
      </c>
      <c r="C30" s="4" t="s">
        <v>99</v>
      </c>
      <c r="D30" s="3">
        <v>1.0</v>
      </c>
      <c r="E30" s="5">
        <f t="shared" si="1"/>
        <v>5</v>
      </c>
      <c r="F30" s="4" t="s">
        <v>100</v>
      </c>
      <c r="G30" s="6" t="s">
        <v>14</v>
      </c>
      <c r="H30" s="7">
        <v>0.0</v>
      </c>
      <c r="I30" s="3">
        <f t="shared" si="8"/>
        <v>5</v>
      </c>
      <c r="J30" s="8">
        <v>1.56</v>
      </c>
      <c r="K30" s="9">
        <f t="shared" si="9"/>
        <v>7.8</v>
      </c>
      <c r="L30" s="7" t="s">
        <v>101</v>
      </c>
    </row>
    <row r="31" ht="12.75" customHeight="1">
      <c r="A31" s="3">
        <v>30.0</v>
      </c>
      <c r="B31" s="4" t="s">
        <v>102</v>
      </c>
      <c r="C31" s="4" t="s">
        <v>103</v>
      </c>
      <c r="D31" s="3">
        <v>1.0</v>
      </c>
      <c r="E31" s="5">
        <f t="shared" si="1"/>
        <v>5</v>
      </c>
      <c r="F31" s="4" t="s">
        <v>104</v>
      </c>
      <c r="G31" s="6" t="s">
        <v>14</v>
      </c>
      <c r="H31" s="7">
        <v>0.0</v>
      </c>
      <c r="I31" s="3">
        <f t="shared" si="8"/>
        <v>5</v>
      </c>
      <c r="J31" s="8">
        <v>2.95</v>
      </c>
      <c r="K31" s="9">
        <f t="shared" si="9"/>
        <v>14.75</v>
      </c>
      <c r="L31" s="7" t="s">
        <v>58</v>
      </c>
    </row>
    <row r="32" ht="12.75" customHeight="1">
      <c r="A32" s="3">
        <v>31.0</v>
      </c>
      <c r="B32" s="4" t="s">
        <v>105</v>
      </c>
      <c r="C32" s="4" t="s">
        <v>106</v>
      </c>
      <c r="D32" s="3">
        <v>1.0</v>
      </c>
      <c r="E32" s="5">
        <f t="shared" si="1"/>
        <v>5</v>
      </c>
      <c r="F32" s="4" t="s">
        <v>107</v>
      </c>
      <c r="G32" s="6" t="s">
        <v>14</v>
      </c>
      <c r="H32" s="7">
        <v>0.0</v>
      </c>
      <c r="I32" s="3">
        <f t="shared" si="8"/>
        <v>5</v>
      </c>
      <c r="J32" s="8">
        <v>0.94</v>
      </c>
      <c r="K32" s="9">
        <f t="shared" si="9"/>
        <v>4.7</v>
      </c>
      <c r="L32" s="7" t="s">
        <v>108</v>
      </c>
    </row>
    <row r="33" ht="12.75" customHeight="1">
      <c r="A33" s="3">
        <v>32.0</v>
      </c>
      <c r="B33" s="4" t="s">
        <v>109</v>
      </c>
      <c r="C33" s="4" t="s">
        <v>33</v>
      </c>
      <c r="D33" s="3">
        <v>4.0</v>
      </c>
      <c r="E33" s="5">
        <f t="shared" si="1"/>
        <v>20</v>
      </c>
      <c r="F33" s="4" t="s">
        <v>110</v>
      </c>
      <c r="G33" s="6" t="s">
        <v>14</v>
      </c>
      <c r="H33" s="7">
        <v>10.0</v>
      </c>
      <c r="I33" s="3">
        <f t="shared" si="8"/>
        <v>10</v>
      </c>
      <c r="J33" s="8">
        <v>2.37</v>
      </c>
      <c r="K33" s="9">
        <f t="shared" si="9"/>
        <v>23.7</v>
      </c>
      <c r="L33" s="7" t="s">
        <v>111</v>
      </c>
    </row>
    <row r="34" ht="12.75" customHeight="1">
      <c r="A34" s="3">
        <v>33.0</v>
      </c>
      <c r="B34" s="4" t="s">
        <v>112</v>
      </c>
      <c r="C34" s="4" t="s">
        <v>113</v>
      </c>
      <c r="D34" s="3">
        <v>2.0</v>
      </c>
      <c r="E34" s="5">
        <f t="shared" si="1"/>
        <v>10</v>
      </c>
      <c r="F34" s="4" t="s">
        <v>114</v>
      </c>
      <c r="G34" s="6" t="s">
        <v>14</v>
      </c>
      <c r="H34" s="7">
        <v>-10.0</v>
      </c>
      <c r="I34" s="3">
        <f t="shared" si="8"/>
        <v>20</v>
      </c>
      <c r="J34" s="8">
        <v>0.11</v>
      </c>
      <c r="K34" s="9">
        <f t="shared" si="9"/>
        <v>2.2</v>
      </c>
      <c r="L34" s="7" t="s">
        <v>51</v>
      </c>
    </row>
    <row r="35" ht="12.75" customHeight="1">
      <c r="A35" s="3">
        <v>34.0</v>
      </c>
      <c r="B35" s="4" t="s">
        <v>115</v>
      </c>
      <c r="C35" s="4" t="s">
        <v>16</v>
      </c>
      <c r="D35" s="3">
        <v>1.0</v>
      </c>
      <c r="E35" s="5">
        <f t="shared" si="1"/>
        <v>5</v>
      </c>
      <c r="F35" s="4" t="s">
        <v>116</v>
      </c>
      <c r="G35" s="6" t="s">
        <v>14</v>
      </c>
      <c r="H35" s="7">
        <v>-5.0</v>
      </c>
      <c r="I35" s="3">
        <f t="shared" si="8"/>
        <v>10</v>
      </c>
      <c r="J35" s="8">
        <v>0.1</v>
      </c>
      <c r="K35" s="9">
        <f t="shared" si="9"/>
        <v>1</v>
      </c>
      <c r="L35" s="7" t="s">
        <v>51</v>
      </c>
    </row>
    <row r="36" ht="12.75" customHeight="1">
      <c r="A36" s="3">
        <v>35.0</v>
      </c>
      <c r="B36" s="4" t="s">
        <v>117</v>
      </c>
      <c r="C36" s="4" t="s">
        <v>16</v>
      </c>
      <c r="D36" s="3">
        <v>2.0</v>
      </c>
      <c r="E36" s="5">
        <f t="shared" si="1"/>
        <v>10</v>
      </c>
      <c r="F36" s="4" t="s">
        <v>118</v>
      </c>
      <c r="G36" s="6" t="s">
        <v>14</v>
      </c>
      <c r="H36" s="7">
        <v>-10.0</v>
      </c>
      <c r="I36" s="3">
        <f t="shared" si="8"/>
        <v>20</v>
      </c>
      <c r="J36" s="8">
        <v>0.62</v>
      </c>
      <c r="K36" s="9">
        <f t="shared" si="9"/>
        <v>12.4</v>
      </c>
      <c r="L36" s="7" t="s">
        <v>119</v>
      </c>
    </row>
    <row r="37" ht="12.75" customHeight="1">
      <c r="A37" s="3">
        <v>36.0</v>
      </c>
      <c r="B37" s="4" t="s">
        <v>120</v>
      </c>
      <c r="C37" s="4" t="s">
        <v>33</v>
      </c>
      <c r="D37" s="3">
        <v>1.0</v>
      </c>
      <c r="E37" s="5">
        <f t="shared" si="1"/>
        <v>5</v>
      </c>
      <c r="F37" s="4" t="s">
        <v>121</v>
      </c>
      <c r="G37" s="6" t="s">
        <v>14</v>
      </c>
      <c r="H37" s="7">
        <v>-5.0</v>
      </c>
      <c r="I37" s="3">
        <f t="shared" si="8"/>
        <v>10</v>
      </c>
      <c r="J37" s="8">
        <v>0.22</v>
      </c>
      <c r="K37" s="9">
        <f t="shared" si="9"/>
        <v>2.2</v>
      </c>
      <c r="L37" s="7" t="s">
        <v>51</v>
      </c>
    </row>
    <row r="38" ht="12.75" customHeight="1">
      <c r="A38" s="3">
        <v>37.0</v>
      </c>
      <c r="B38" s="4" t="s">
        <v>122</v>
      </c>
      <c r="C38" s="4" t="s">
        <v>123</v>
      </c>
      <c r="D38" s="3">
        <v>1.0</v>
      </c>
      <c r="E38" s="5">
        <f t="shared" si="1"/>
        <v>5</v>
      </c>
      <c r="F38" s="4" t="s">
        <v>124</v>
      </c>
      <c r="G38" s="6" t="s">
        <v>14</v>
      </c>
      <c r="H38" s="7">
        <v>0.0</v>
      </c>
      <c r="I38" s="3">
        <f t="shared" si="8"/>
        <v>5</v>
      </c>
      <c r="J38" s="7" t="s">
        <v>29</v>
      </c>
      <c r="K38" s="7" t="s">
        <v>29</v>
      </c>
      <c r="L38" s="7" t="s">
        <v>125</v>
      </c>
    </row>
    <row r="39" ht="12.75" customHeight="1">
      <c r="A39" s="3">
        <v>38.0</v>
      </c>
      <c r="B39" s="4" t="s">
        <v>126</v>
      </c>
      <c r="C39" s="4" t="s">
        <v>127</v>
      </c>
      <c r="D39" s="3">
        <v>1.0</v>
      </c>
      <c r="E39" s="4">
        <f t="shared" si="1"/>
        <v>5</v>
      </c>
      <c r="F39" s="4" t="s">
        <v>27</v>
      </c>
      <c r="G39" s="7" t="s">
        <v>29</v>
      </c>
      <c r="H39" s="7" t="s">
        <v>29</v>
      </c>
      <c r="I39" s="12" t="s">
        <v>29</v>
      </c>
      <c r="J39" s="7" t="s">
        <v>29</v>
      </c>
      <c r="K39" s="7" t="s">
        <v>29</v>
      </c>
    </row>
    <row r="40" ht="12.75" customHeight="1">
      <c r="A40" s="3">
        <v>39.0</v>
      </c>
      <c r="B40" s="4" t="s">
        <v>128</v>
      </c>
      <c r="C40" s="4" t="s">
        <v>129</v>
      </c>
      <c r="D40" s="3">
        <v>1.0</v>
      </c>
      <c r="E40" s="5">
        <f t="shared" si="1"/>
        <v>5</v>
      </c>
      <c r="F40" s="4" t="s">
        <v>130</v>
      </c>
      <c r="G40" s="6" t="s">
        <v>14</v>
      </c>
      <c r="H40" s="7">
        <v>0.0</v>
      </c>
      <c r="I40" s="3">
        <f>D40*5-H40</f>
        <v>5</v>
      </c>
      <c r="J40" s="7" t="s">
        <v>29</v>
      </c>
      <c r="K40" s="7" t="s">
        <v>29</v>
      </c>
      <c r="L40" s="7" t="s">
        <v>125</v>
      </c>
    </row>
    <row r="41" ht="12.75" customHeight="1">
      <c r="A41" s="3">
        <v>40.0</v>
      </c>
      <c r="B41" s="4" t="s">
        <v>131</v>
      </c>
      <c r="C41" s="4" t="s">
        <v>132</v>
      </c>
      <c r="D41" s="3">
        <v>1.0</v>
      </c>
      <c r="E41" s="5">
        <f t="shared" si="1"/>
        <v>5</v>
      </c>
      <c r="F41" s="4" t="s">
        <v>133</v>
      </c>
      <c r="G41" s="6" t="s">
        <v>14</v>
      </c>
      <c r="H41" s="7" t="s">
        <v>29</v>
      </c>
      <c r="I41" s="12" t="s">
        <v>29</v>
      </c>
      <c r="J41" s="7" t="s">
        <v>29</v>
      </c>
      <c r="K41" s="7" t="s">
        <v>29</v>
      </c>
      <c r="L41" s="7" t="s">
        <v>125</v>
      </c>
    </row>
    <row r="42" ht="12.75" customHeight="1">
      <c r="A42" s="3">
        <v>41.0</v>
      </c>
      <c r="B42" s="4" t="s">
        <v>134</v>
      </c>
      <c r="C42" s="4" t="s">
        <v>135</v>
      </c>
      <c r="D42" s="3">
        <v>1.0</v>
      </c>
      <c r="E42" s="14">
        <f t="shared" si="1"/>
        <v>5</v>
      </c>
      <c r="F42" s="4" t="s">
        <v>136</v>
      </c>
      <c r="G42" s="6" t="s">
        <v>14</v>
      </c>
      <c r="H42" s="7" t="s">
        <v>29</v>
      </c>
      <c r="I42" s="12" t="s">
        <v>29</v>
      </c>
      <c r="J42" s="7" t="s">
        <v>29</v>
      </c>
      <c r="K42" s="7" t="s">
        <v>29</v>
      </c>
      <c r="L42" s="7" t="s">
        <v>137</v>
      </c>
    </row>
    <row r="43" ht="12.75" customHeight="1">
      <c r="A43" s="3">
        <v>42.0</v>
      </c>
      <c r="B43" s="4" t="s">
        <v>138</v>
      </c>
      <c r="C43" s="4" t="s">
        <v>139</v>
      </c>
      <c r="D43" s="3">
        <v>1.0</v>
      </c>
      <c r="E43" s="14">
        <f t="shared" si="1"/>
        <v>5</v>
      </c>
      <c r="F43" s="4" t="s">
        <v>140</v>
      </c>
      <c r="G43" s="6" t="s">
        <v>14</v>
      </c>
      <c r="H43" s="7" t="s">
        <v>29</v>
      </c>
      <c r="I43" s="12" t="s">
        <v>29</v>
      </c>
      <c r="J43" s="7" t="s">
        <v>29</v>
      </c>
      <c r="K43" s="7" t="s">
        <v>29</v>
      </c>
      <c r="L43" s="7" t="s">
        <v>141</v>
      </c>
    </row>
    <row r="44" ht="12.75" customHeight="1">
      <c r="A44" s="3">
        <v>43.0</v>
      </c>
      <c r="B44" s="4" t="s">
        <v>142</v>
      </c>
      <c r="C44" s="4" t="s">
        <v>33</v>
      </c>
      <c r="D44" s="3">
        <v>3.0</v>
      </c>
      <c r="E44" s="5">
        <f t="shared" si="1"/>
        <v>15</v>
      </c>
      <c r="F44" s="4" t="s">
        <v>143</v>
      </c>
      <c r="G44" s="6" t="s">
        <v>14</v>
      </c>
      <c r="H44" s="7">
        <v>5.0</v>
      </c>
      <c r="I44" s="3">
        <f t="shared" ref="I44:I52" si="10">D44*5-H44</f>
        <v>10</v>
      </c>
      <c r="J44" s="8">
        <v>0.1</v>
      </c>
      <c r="K44" s="9">
        <f t="shared" ref="K44:K48" si="11">J44*I44</f>
        <v>1</v>
      </c>
      <c r="L44" s="7" t="s">
        <v>144</v>
      </c>
    </row>
    <row r="45" ht="12.75" customHeight="1">
      <c r="A45" s="3">
        <v>44.0</v>
      </c>
      <c r="B45" s="4" t="s">
        <v>145</v>
      </c>
      <c r="C45" s="4" t="s">
        <v>33</v>
      </c>
      <c r="D45" s="3">
        <v>1.0</v>
      </c>
      <c r="E45" s="5">
        <f t="shared" si="1"/>
        <v>5</v>
      </c>
      <c r="F45" s="4" t="s">
        <v>146</v>
      </c>
      <c r="G45" s="6" t="s">
        <v>14</v>
      </c>
      <c r="H45" s="7">
        <v>-5.0</v>
      </c>
      <c r="I45" s="3">
        <f t="shared" si="10"/>
        <v>10</v>
      </c>
      <c r="J45" s="8">
        <v>0.1</v>
      </c>
      <c r="K45" s="9">
        <f t="shared" si="11"/>
        <v>1</v>
      </c>
      <c r="L45" s="7" t="s">
        <v>147</v>
      </c>
    </row>
    <row r="46" ht="12.75" customHeight="1">
      <c r="A46" s="3">
        <v>45.0</v>
      </c>
      <c r="B46" s="4" t="s">
        <v>148</v>
      </c>
      <c r="C46" s="4" t="s">
        <v>90</v>
      </c>
      <c r="D46" s="3">
        <v>2.0</v>
      </c>
      <c r="E46" s="11">
        <f t="shared" si="1"/>
        <v>10</v>
      </c>
      <c r="F46" s="4" t="s">
        <v>149</v>
      </c>
      <c r="G46" s="6" t="s">
        <v>14</v>
      </c>
      <c r="H46" s="7">
        <v>-10.0</v>
      </c>
      <c r="I46" s="3">
        <f t="shared" si="10"/>
        <v>20</v>
      </c>
      <c r="J46" s="8">
        <v>0.1</v>
      </c>
      <c r="K46" s="9">
        <f t="shared" si="11"/>
        <v>2</v>
      </c>
      <c r="L46" s="7" t="s">
        <v>150</v>
      </c>
    </row>
    <row r="47" ht="12.75" customHeight="1">
      <c r="A47" s="3">
        <v>46.0</v>
      </c>
      <c r="B47" s="4" t="s">
        <v>151</v>
      </c>
      <c r="C47" s="4" t="s">
        <v>99</v>
      </c>
      <c r="D47" s="3">
        <v>1.0</v>
      </c>
      <c r="E47" s="5">
        <f t="shared" si="1"/>
        <v>5</v>
      </c>
      <c r="F47" s="4" t="s">
        <v>152</v>
      </c>
      <c r="G47" s="6" t="s">
        <v>14</v>
      </c>
      <c r="H47" s="7">
        <v>0.0</v>
      </c>
      <c r="I47" s="3">
        <f t="shared" si="10"/>
        <v>5</v>
      </c>
      <c r="J47" s="8">
        <v>1.59</v>
      </c>
      <c r="K47" s="9">
        <f t="shared" si="11"/>
        <v>7.95</v>
      </c>
      <c r="L47" s="7" t="s">
        <v>153</v>
      </c>
    </row>
    <row r="48" ht="12.75" customHeight="1">
      <c r="A48" s="3">
        <v>47.0</v>
      </c>
      <c r="B48" s="4" t="s">
        <v>154</v>
      </c>
      <c r="C48" s="4" t="s">
        <v>155</v>
      </c>
      <c r="D48" s="3">
        <v>1.0</v>
      </c>
      <c r="E48" s="4">
        <f t="shared" si="1"/>
        <v>5</v>
      </c>
      <c r="F48" s="4" t="s">
        <v>27</v>
      </c>
      <c r="G48" s="6" t="s">
        <v>156</v>
      </c>
      <c r="H48" s="7">
        <v>0.0</v>
      </c>
      <c r="I48" s="3">
        <f t="shared" si="10"/>
        <v>5</v>
      </c>
      <c r="J48" s="8">
        <v>4.75</v>
      </c>
      <c r="K48" s="9">
        <f t="shared" si="11"/>
        <v>23.75</v>
      </c>
      <c r="L48" s="7" t="s">
        <v>157</v>
      </c>
    </row>
    <row r="49" ht="12.75" customHeight="1">
      <c r="A49" s="3">
        <v>48.0</v>
      </c>
      <c r="B49" s="4" t="s">
        <v>158</v>
      </c>
      <c r="C49" s="4" t="s">
        <v>90</v>
      </c>
      <c r="D49" s="3">
        <v>1.0</v>
      </c>
      <c r="E49" s="5">
        <f t="shared" si="1"/>
        <v>5</v>
      </c>
      <c r="F49" s="4" t="s">
        <v>159</v>
      </c>
      <c r="G49" s="6" t="s">
        <v>14</v>
      </c>
      <c r="H49" s="7">
        <v>0.0</v>
      </c>
      <c r="I49" s="3">
        <f t="shared" si="10"/>
        <v>5</v>
      </c>
      <c r="J49" s="8" t="s">
        <v>29</v>
      </c>
      <c r="K49" s="7" t="s">
        <v>29</v>
      </c>
      <c r="L49" s="7" t="s">
        <v>160</v>
      </c>
    </row>
    <row r="50" ht="12.75" customHeight="1">
      <c r="A50" s="3">
        <v>49.0</v>
      </c>
      <c r="B50" s="4" t="s">
        <v>161</v>
      </c>
      <c r="C50" s="4" t="s">
        <v>162</v>
      </c>
      <c r="D50" s="3">
        <v>1.0</v>
      </c>
      <c r="E50" s="4">
        <f t="shared" si="1"/>
        <v>5</v>
      </c>
      <c r="F50" s="4" t="s">
        <v>27</v>
      </c>
      <c r="G50" s="6" t="s">
        <v>14</v>
      </c>
      <c r="H50" s="7">
        <v>0.0</v>
      </c>
      <c r="I50" s="3">
        <f t="shared" si="10"/>
        <v>5</v>
      </c>
      <c r="J50" s="8">
        <v>1.83</v>
      </c>
      <c r="K50" s="9">
        <f>J50*I50</f>
        <v>9.15</v>
      </c>
      <c r="L50" s="7" t="s">
        <v>163</v>
      </c>
    </row>
    <row r="51" ht="12.75" customHeight="1">
      <c r="A51" s="3">
        <v>50.0</v>
      </c>
      <c r="B51" s="4" t="s">
        <v>164</v>
      </c>
      <c r="C51" s="4" t="s">
        <v>165</v>
      </c>
      <c r="D51" s="3">
        <v>1.0</v>
      </c>
      <c r="E51" s="5">
        <f t="shared" si="1"/>
        <v>5</v>
      </c>
      <c r="F51" s="4" t="s">
        <v>165</v>
      </c>
      <c r="G51" s="6" t="s">
        <v>14</v>
      </c>
      <c r="H51" s="7">
        <v>0.0</v>
      </c>
      <c r="I51" s="3">
        <f t="shared" si="10"/>
        <v>5</v>
      </c>
      <c r="J51" s="7" t="s">
        <v>29</v>
      </c>
      <c r="K51" s="7" t="s">
        <v>29</v>
      </c>
      <c r="L51" s="7" t="s">
        <v>160</v>
      </c>
    </row>
    <row r="52" ht="12.75" customHeight="1">
      <c r="A52" s="12">
        <v>49.0</v>
      </c>
      <c r="B52" s="7" t="s">
        <v>29</v>
      </c>
      <c r="C52" s="7" t="s">
        <v>29</v>
      </c>
      <c r="D52" s="12">
        <v>2.0</v>
      </c>
      <c r="E52" s="16">
        <f t="shared" si="1"/>
        <v>10</v>
      </c>
      <c r="F52" s="7" t="s">
        <v>166</v>
      </c>
      <c r="G52" s="6" t="s">
        <v>156</v>
      </c>
      <c r="H52" s="7">
        <v>0.0</v>
      </c>
      <c r="I52" s="3">
        <f t="shared" si="10"/>
        <v>10</v>
      </c>
      <c r="J52" s="8">
        <v>35.72</v>
      </c>
      <c r="K52" s="8">
        <f t="shared" ref="K52:K54" si="12">I52*J52</f>
        <v>357.2</v>
      </c>
      <c r="L52" s="7" t="s">
        <v>51</v>
      </c>
    </row>
    <row r="53" ht="12.75" customHeight="1">
      <c r="A53" s="12">
        <v>50.0</v>
      </c>
      <c r="B53" s="7" t="s">
        <v>29</v>
      </c>
      <c r="C53" s="7" t="s">
        <v>29</v>
      </c>
      <c r="D53" s="12">
        <v>1.0</v>
      </c>
      <c r="E53" s="7">
        <f t="shared" si="1"/>
        <v>5</v>
      </c>
      <c r="F53" s="7" t="s">
        <v>167</v>
      </c>
      <c r="G53" s="17"/>
      <c r="H53" s="7">
        <v>0.0</v>
      </c>
      <c r="I53" s="12">
        <v>1.0</v>
      </c>
      <c r="J53" s="8">
        <v>216.8</v>
      </c>
      <c r="K53" s="8">
        <f t="shared" si="12"/>
        <v>216.8</v>
      </c>
      <c r="L53" s="7" t="s">
        <v>168</v>
      </c>
    </row>
    <row r="54" ht="12.75" customHeight="1">
      <c r="A54" s="12">
        <v>51.0</v>
      </c>
      <c r="B54" s="7" t="s">
        <v>29</v>
      </c>
      <c r="C54" s="7" t="s">
        <v>29</v>
      </c>
      <c r="D54" s="12">
        <v>1.0</v>
      </c>
      <c r="E54" s="7">
        <f t="shared" si="1"/>
        <v>5</v>
      </c>
      <c r="F54" s="7" t="s">
        <v>169</v>
      </c>
      <c r="G54" s="17"/>
      <c r="H54" s="7"/>
      <c r="I54" s="12">
        <v>1.0</v>
      </c>
      <c r="J54" s="8">
        <v>68.07</v>
      </c>
      <c r="K54" s="8">
        <f t="shared" si="12"/>
        <v>68.07</v>
      </c>
      <c r="L54" s="7"/>
    </row>
    <row r="55" ht="12.75" customHeight="1"/>
    <row r="56" ht="12.75" customHeight="1"/>
    <row r="57" ht="12.75" customHeight="1">
      <c r="I57" s="18" t="s">
        <v>170</v>
      </c>
      <c r="J57" s="19">
        <f>SUM(Table1[total cost])</f>
        <v>856.34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dataValidations>
    <dataValidation type="custom" allowBlank="1" showDropDown="1" sqref="A2:A54 D2:D54 I2:I54">
      <formula1>AND(ISNUMBER(A2),(NOT(OR(NOT(ISERROR(DATEVALUE(A2))), AND(ISNUMBER(A2), LEFT(CELL("format", A2))="D")))))</formula1>
    </dataValidation>
  </dataValidations>
  <hyperlinks>
    <hyperlink r:id="rId4" ref="G2"/>
    <hyperlink r:id="rId5" ref="G3"/>
    <hyperlink r:id="rId6" ref="G4"/>
    <hyperlink r:id="rId7" ref="G5"/>
    <hyperlink r:id="rId8" ref="G8"/>
    <hyperlink r:id="rId9" ref="G9"/>
    <hyperlink r:id="rId10" ref="G10"/>
    <hyperlink r:id="rId11" ref="G11"/>
    <hyperlink r:id="rId12" ref="G12"/>
    <hyperlink r:id="rId13" ref="G13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6"/>
    <hyperlink r:id="rId25" ref="G27"/>
    <hyperlink r:id="rId26" ref="G28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</hyperlinks>
  <printOptions/>
  <pageMargins bottom="0.7875" footer="0.0" header="0.0" left="0.7875" right="0.7875" top="0.7875"/>
  <pageSetup paperSize="9" orientation="portrait"/>
  <drawing r:id="rId49"/>
  <legacyDrawing r:id="rId50"/>
  <tableParts count="1">
    <tablePart r:id="rId52"/>
  </tableParts>
</worksheet>
</file>