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<sst xmlns="http://schemas.openxmlformats.org/spreadsheetml/2006/main" count="21" uniqueCount="19">
  <si>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Level Translator</t>
  </si>
  <si>
    <t>PCAL6534</t>
  </si>
  <si>
    <t>SN74LXC2T4</t>
  </si>
  <si>
    <t>Notes</t>
  </si>
  <si>
    <t>Section Criteria/Category</t>
  </si>
  <si>
    <t>Weight (1-5)</t>
  </si>
  <si>
    <t>Score</t>
  </si>
  <si>
    <t>Weighted Score</t>
  </si>
  <si>
    <t>Weight</t>
  </si>
  <si>
    <t>Ease of integration</t>
  </si>
  <si>
    <t>Ability to implement on existing board</t>
  </si>
  <si>
    <t>Cost</t>
  </si>
  <si>
    <t>Flexability</t>
  </si>
  <si>
    <t>Operational abilities</t>
  </si>
  <si>
    <t>Supply Voltage</t>
  </si>
  <si>
    <t>Number of Channels</t>
  </si>
  <si>
    <t>Availability</t>
  </si>
  <si>
    <t>Chip Package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</si>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</sst>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2" fillId="0" fontId="1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3">
      <c r="B3" s="1" t="s">
        <v>0</v>
      </c>
      <c r="C3" s="2"/>
      <c r="D3" s="1" t="s">
        <v>1</v>
      </c>
      <c r="E3" s="3"/>
      <c r="F3" s="4" t="s">
        <v>2</v>
      </c>
      <c r="G3" s="3"/>
      <c r="H3" s="5" t="s">
        <v>3</v>
      </c>
    </row>
    <row r="4">
      <c r="B4" s="6" t="s">
        <v>4</v>
      </c>
      <c r="C4" s="6" t="s">
        <v>5</v>
      </c>
      <c r="D4" s="7" t="s">
        <v>6</v>
      </c>
      <c r="E4" s="7" t="s">
        <v>7</v>
      </c>
      <c r="F4" s="6" t="s">
        <v>6</v>
      </c>
      <c r="G4" s="8" t="s">
        <v>8</v>
      </c>
    </row>
    <row r="5">
      <c r="B5" s="9" t="s">
        <v>9</v>
      </c>
      <c r="C5" s="9">
        <v>5.0</v>
      </c>
      <c r="D5" s="9">
        <v>2.0</v>
      </c>
      <c r="E5" s="6">
        <f t="shared" ref="E5:E11" si="1">C5*D5</f>
        <v>10</v>
      </c>
      <c r="F5" s="9">
        <v>4.0</v>
      </c>
      <c r="G5" s="6">
        <f t="shared" ref="G5:G11" si="2">C5*F5</f>
        <v>20</v>
      </c>
      <c r="H5" s="5" t="s">
        <v>10</v>
      </c>
    </row>
    <row r="6">
      <c r="B6" s="9" t="s">
        <v>11</v>
      </c>
      <c r="C6" s="9">
        <v>1.0</v>
      </c>
      <c r="D6" s="9">
        <v>5.0</v>
      </c>
      <c r="E6" s="6">
        <f t="shared" si="1"/>
        <v>5</v>
      </c>
      <c r="F6" s="9">
        <v>5.0</v>
      </c>
      <c r="G6" s="6">
        <f t="shared" si="2"/>
        <v>5</v>
      </c>
    </row>
    <row r="7">
      <c r="B7" s="9" t="s">
        <v>12</v>
      </c>
      <c r="C7" s="9">
        <v>4.0</v>
      </c>
      <c r="D7" s="9">
        <v>4.0</v>
      </c>
      <c r="E7" s="6">
        <f t="shared" si="1"/>
        <v>16</v>
      </c>
      <c r="F7" s="9">
        <v>3.0</v>
      </c>
      <c r="G7" s="6">
        <f t="shared" si="2"/>
        <v>12</v>
      </c>
      <c r="H7" s="5" t="s">
        <v>13</v>
      </c>
    </row>
    <row r="8">
      <c r="B8" s="9" t="s">
        <v>14</v>
      </c>
      <c r="C8" s="9">
        <v>3.0</v>
      </c>
      <c r="D8" s="9">
        <v>5.0</v>
      </c>
      <c r="E8" s="6">
        <f t="shared" si="1"/>
        <v>15</v>
      </c>
      <c r="F8" s="9">
        <v>4.0</v>
      </c>
      <c r="G8" s="6">
        <f t="shared" si="2"/>
        <v>12</v>
      </c>
    </row>
    <row r="9">
      <c r="B9" s="9" t="s">
        <v>15</v>
      </c>
      <c r="C9" s="9">
        <v>3.0</v>
      </c>
      <c r="D9" s="9">
        <v>5.0</v>
      </c>
      <c r="E9" s="6">
        <f t="shared" si="1"/>
        <v>15</v>
      </c>
      <c r="F9" s="9">
        <v>1.0</v>
      </c>
      <c r="G9" s="6">
        <f t="shared" si="2"/>
        <v>3</v>
      </c>
    </row>
    <row r="10">
      <c r="B10" s="9" t="s">
        <v>16</v>
      </c>
      <c r="C10" s="9">
        <v>2.0</v>
      </c>
      <c r="D10" s="9">
        <v>3.0</v>
      </c>
      <c r="E10" s="6">
        <f t="shared" si="1"/>
        <v>6</v>
      </c>
      <c r="F10" s="9">
        <v>5.0</v>
      </c>
      <c r="G10" s="6">
        <f t="shared" si="2"/>
        <v>10</v>
      </c>
    </row>
    <row r="11">
      <c r="B11" s="9" t="s">
        <v>17</v>
      </c>
      <c r="C11" s="9">
        <v>4.0</v>
      </c>
      <c r="D11" s="9">
        <v>3.0</v>
      </c>
      <c r="E11" s="6">
        <f t="shared" si="1"/>
        <v>12</v>
      </c>
      <c r="F11" s="9">
        <v>5.0</v>
      </c>
      <c r="G11" s="6">
        <f t="shared" si="2"/>
        <v>20</v>
      </c>
    </row>
    <row r="12">
      <c r="B12" s="10"/>
      <c r="C12" s="10"/>
      <c r="D12" s="6" t="s">
        <v>18</v>
      </c>
      <c r="E12" s="6">
        <f>sum(E5:E11)</f>
        <v>79</v>
      </c>
      <c r="F12" s="11" t="s">
        <v>18</v>
      </c>
      <c r="G12" s="6">
        <f>sum(G5:G11)</f>
        <v>82</v>
      </c>
    </row>
  </sheetData>
  <mergeCells count="3">
    <mergeCell ref="B3:C3"/>
    <mergeCell ref="D3:E3"/>
    <mergeCell ref="F3:G3"/>
  </mergeCells>
  <drawing r:id="rId1"/>
</worksheet>
</file>